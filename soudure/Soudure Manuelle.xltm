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90" windowWidth="15480" windowHeight="8175" tabRatio="364"/>
  </bookViews>
  <sheets>
    <sheet name="Soudage manuel vierge" sheetId="6" r:id="rId1"/>
    <sheet name="Soudage robotisé" sheetId="2" state="hidden" r:id="rId2"/>
    <sheet name="Tableaux" sheetId="3" state="hidden" r:id="rId3"/>
    <sheet name="Soudure au mètre" sheetId="4" state="hidden" r:id="rId4"/>
    <sheet name="vib_datas" sheetId="5" r:id="rId5"/>
    <sheet name="Decomposition" sheetId="16" r:id="rId6"/>
  </sheets>
  <functionGroups builtInGroupCount="17"/>
  <definedNames>
    <definedName name="_xlnm._FilterDatabase" localSheetId="0" hidden="1">'Soudage manuel vierge'!$R$1:$R$62</definedName>
    <definedName name="InsertLot">vib_datas!$AA$1:$AD$1</definedName>
    <definedName name="Lot">vib_datas!$A$2:$A$9</definedName>
    <definedName name="LotExt">vib_datas!$A$2:$S$9</definedName>
    <definedName name="Reference">vib_datas!$B$2:$B$9</definedName>
    <definedName name="ReferenceExt">vib_datas!$B$2:$S$9</definedName>
    <definedName name="_xlnm.Print_Area" localSheetId="0">'Soudage manuel vierge'!$A$1:$AD$56</definedName>
  </definedNames>
  <calcPr calcId="145621"/>
  <customWorkbookViews>
    <customWorkbookView name="/2" guid="{9202D9C8-DD47-4F7A-BFF5-A0B83E304C8F}" maximized="1" xWindow="1" yWindow="1" windowWidth="1280" windowHeight="580" activeSheetId="2"/>
  </customWorkbookViews>
</workbook>
</file>

<file path=xl/calcChain.xml><?xml version="1.0" encoding="utf-8"?>
<calcChain xmlns="http://schemas.openxmlformats.org/spreadsheetml/2006/main">
  <c r="AC1" i="5" l="1"/>
  <c r="AD1" i="5" s="1"/>
  <c r="T4" i="16" l="1"/>
  <c r="U4" i="16"/>
  <c r="AB1" i="5"/>
  <c r="Y49" i="6" l="1"/>
  <c r="D47" i="6"/>
  <c r="E45" i="6"/>
  <c r="E44" i="6"/>
  <c r="E43" i="6"/>
  <c r="E46" i="6" s="1"/>
  <c r="E42" i="6"/>
  <c r="E47" i="6" s="1"/>
  <c r="AD41" i="6"/>
  <c r="AC41" i="6"/>
  <c r="AB41" i="6"/>
  <c r="AA41" i="6"/>
  <c r="Z41" i="6"/>
  <c r="Y41" i="6"/>
  <c r="X41" i="6"/>
  <c r="V41" i="6"/>
  <c r="T41" i="6"/>
  <c r="S41" i="6"/>
  <c r="AD39" i="6"/>
  <c r="AC39" i="6"/>
  <c r="AB39" i="6"/>
  <c r="AA39" i="6"/>
  <c r="Z39" i="6"/>
  <c r="Y39" i="6"/>
  <c r="X39" i="6"/>
  <c r="F39" i="6"/>
  <c r="F38" i="6"/>
  <c r="U37" i="6"/>
  <c r="T37" i="6"/>
  <c r="S37" i="6"/>
  <c r="V37" i="6" s="1"/>
  <c r="R37" i="6"/>
  <c r="U36" i="6"/>
  <c r="S36" i="6"/>
  <c r="V36" i="6" s="1"/>
  <c r="R36" i="6"/>
  <c r="U35" i="6"/>
  <c r="S35" i="6"/>
  <c r="V35" i="6" s="1"/>
  <c r="R35" i="6"/>
  <c r="U34" i="6"/>
  <c r="S34" i="6"/>
  <c r="V34" i="6" s="1"/>
  <c r="R34" i="6"/>
  <c r="U33" i="6"/>
  <c r="S33" i="6"/>
  <c r="V33" i="6" s="1"/>
  <c r="R33" i="6"/>
  <c r="U32" i="6"/>
  <c r="S32" i="6"/>
  <c r="V32" i="6" s="1"/>
  <c r="R32" i="6"/>
  <c r="U31" i="6"/>
  <c r="T31" i="6"/>
  <c r="S31" i="6"/>
  <c r="V31" i="6" s="1"/>
  <c r="R31" i="6"/>
  <c r="U30" i="6"/>
  <c r="S30" i="6"/>
  <c r="T30" i="6" s="1"/>
  <c r="R30" i="6"/>
  <c r="U29" i="6"/>
  <c r="V29" i="6" s="1"/>
  <c r="S29" i="6"/>
  <c r="T29" i="6" s="1"/>
  <c r="R29" i="6"/>
  <c r="U28" i="6"/>
  <c r="V28" i="6" s="1"/>
  <c r="T28" i="6"/>
  <c r="S28" i="6"/>
  <c r="R28" i="6"/>
  <c r="U27" i="6"/>
  <c r="S27" i="6"/>
  <c r="V27" i="6" s="1"/>
  <c r="R27" i="6"/>
  <c r="U26" i="6"/>
  <c r="S26" i="6"/>
  <c r="V26" i="6" s="1"/>
  <c r="R26" i="6"/>
  <c r="U25" i="6"/>
  <c r="T25" i="6"/>
  <c r="S25" i="6"/>
  <c r="V25" i="6" s="1"/>
  <c r="R25" i="6"/>
  <c r="U24" i="6"/>
  <c r="S24" i="6"/>
  <c r="V24" i="6" s="1"/>
  <c r="R24" i="6"/>
  <c r="U23" i="6"/>
  <c r="S23" i="6"/>
  <c r="V23" i="6" s="1"/>
  <c r="R23" i="6"/>
  <c r="U22" i="6"/>
  <c r="S22" i="6"/>
  <c r="V22" i="6" s="1"/>
  <c r="R22" i="6"/>
  <c r="V21" i="6"/>
  <c r="U21" i="6"/>
  <c r="T21" i="6"/>
  <c r="S21" i="6"/>
  <c r="R21" i="6"/>
  <c r="U20" i="6"/>
  <c r="S20" i="6"/>
  <c r="V20" i="6" s="1"/>
  <c r="R20" i="6"/>
  <c r="U19" i="6"/>
  <c r="T19" i="6"/>
  <c r="S19" i="6"/>
  <c r="V19" i="6" s="1"/>
  <c r="R19" i="6"/>
  <c r="U18" i="6"/>
  <c r="S18" i="6"/>
  <c r="T18" i="6" s="1"/>
  <c r="R18" i="6"/>
  <c r="U17" i="6"/>
  <c r="V17" i="6" s="1"/>
  <c r="S17" i="6"/>
  <c r="T17" i="6" s="1"/>
  <c r="R17" i="6"/>
  <c r="U16" i="6"/>
  <c r="V16" i="6" s="1"/>
  <c r="T16" i="6"/>
  <c r="S16" i="6"/>
  <c r="R16" i="6"/>
  <c r="U15" i="6"/>
  <c r="S15" i="6"/>
  <c r="V15" i="6" s="1"/>
  <c r="R15" i="6"/>
  <c r="U14" i="6"/>
  <c r="S14" i="6"/>
  <c r="V14" i="6" s="1"/>
  <c r="R14" i="6"/>
  <c r="U13" i="6"/>
  <c r="T13" i="6"/>
  <c r="S13" i="6"/>
  <c r="V13" i="6" s="1"/>
  <c r="R13" i="6"/>
  <c r="U12" i="6"/>
  <c r="S12" i="6"/>
  <c r="V12" i="6" s="1"/>
  <c r="R12" i="6"/>
  <c r="U11" i="6"/>
  <c r="S11" i="6"/>
  <c r="S39" i="6" s="1"/>
  <c r="R11" i="6"/>
  <c r="H14" i="6"/>
  <c r="H20" i="6"/>
  <c r="H33" i="6"/>
  <c r="H22" i="6"/>
  <c r="H12" i="6"/>
  <c r="H27" i="6"/>
  <c r="H29" i="6"/>
  <c r="H36" i="6"/>
  <c r="H16" i="6"/>
  <c r="H17" i="6"/>
  <c r="H37" i="6"/>
  <c r="H18" i="6"/>
  <c r="H35" i="6"/>
  <c r="H30" i="6"/>
  <c r="H15" i="6"/>
  <c r="H32" i="6"/>
  <c r="H21" i="6"/>
  <c r="H19" i="6"/>
  <c r="H11" i="6"/>
  <c r="H25" i="6"/>
  <c r="H34" i="6"/>
  <c r="H31" i="6"/>
  <c r="H26" i="6"/>
  <c r="H13" i="6"/>
  <c r="H23" i="6"/>
  <c r="H28" i="6"/>
  <c r="H24" i="6"/>
  <c r="P4" i="16" l="1"/>
  <c r="O4" i="16"/>
  <c r="N4" i="16"/>
  <c r="I4" i="16"/>
  <c r="R39" i="6"/>
  <c r="R41" i="6" s="1"/>
  <c r="Q21" i="6"/>
  <c r="O21" i="6" a="1"/>
  <c r="O21" i="6" s="1"/>
  <c r="P21" i="6" s="1"/>
  <c r="W21" i="6" s="1"/>
  <c r="Q33" i="6"/>
  <c r="O33" i="6" a="1"/>
  <c r="O33" i="6" s="1"/>
  <c r="P33" i="6" s="1"/>
  <c r="W33" i="6" s="1"/>
  <c r="Q20" i="6"/>
  <c r="O20" i="6" a="1"/>
  <c r="O20" i="6" s="1"/>
  <c r="P20" i="6" s="1"/>
  <c r="W20" i="6" s="1"/>
  <c r="Q32" i="6"/>
  <c r="O32" i="6" a="1"/>
  <c r="O32" i="6" s="1"/>
  <c r="P32" i="6" s="1"/>
  <c r="W32" i="6" s="1"/>
  <c r="Q19" i="6"/>
  <c r="O19" i="6" a="1"/>
  <c r="O19" i="6" s="1"/>
  <c r="P19" i="6" s="1"/>
  <c r="W19" i="6" s="1"/>
  <c r="Q31" i="6"/>
  <c r="O31" i="6" a="1"/>
  <c r="O31" i="6" s="1"/>
  <c r="P31" i="6" s="1"/>
  <c r="W31" i="6" s="1"/>
  <c r="Q18" i="6"/>
  <c r="O18" i="6" a="1"/>
  <c r="O18" i="6" s="1"/>
  <c r="P18" i="6" s="1"/>
  <c r="W18" i="6" s="1"/>
  <c r="Q30" i="6"/>
  <c r="O30" i="6" a="1"/>
  <c r="O30" i="6" s="1"/>
  <c r="P30" i="6" s="1"/>
  <c r="W30" i="6" s="1"/>
  <c r="Q17" i="6"/>
  <c r="O17" i="6" a="1"/>
  <c r="O17" i="6" s="1"/>
  <c r="P17" i="6" s="1"/>
  <c r="W17" i="6" s="1"/>
  <c r="Q29" i="6"/>
  <c r="O29" i="6" a="1"/>
  <c r="O29" i="6" s="1"/>
  <c r="P29" i="6" s="1"/>
  <c r="W29" i="6" s="1"/>
  <c r="Q16" i="6"/>
  <c r="O16" i="6" a="1"/>
  <c r="O16" i="6" s="1"/>
  <c r="P16" i="6" s="1"/>
  <c r="W16" i="6" s="1"/>
  <c r="Q28" i="6"/>
  <c r="O28" i="6" a="1"/>
  <c r="O28" i="6" s="1"/>
  <c r="P28" i="6" s="1"/>
  <c r="W28" i="6" s="1"/>
  <c r="Q15" i="6"/>
  <c r="O15" i="6" a="1"/>
  <c r="O15" i="6" s="1"/>
  <c r="P15" i="6" s="1"/>
  <c r="W15" i="6" s="1"/>
  <c r="Q27" i="6"/>
  <c r="O27" i="6" a="1"/>
  <c r="O27" i="6" s="1"/>
  <c r="P27" i="6" s="1"/>
  <c r="W27" i="6" s="1"/>
  <c r="Q14" i="6"/>
  <c r="O14" i="6" a="1"/>
  <c r="O14" i="6" s="1"/>
  <c r="P14" i="6" s="1"/>
  <c r="W14" i="6" s="1"/>
  <c r="Q26" i="6"/>
  <c r="O26" i="6" a="1"/>
  <c r="O26" i="6" s="1"/>
  <c r="P26" i="6" s="1"/>
  <c r="W26" i="6" s="1"/>
  <c r="O13" i="6" a="1"/>
  <c r="O13" i="6" s="1"/>
  <c r="P13" i="6" s="1"/>
  <c r="W13" i="6" s="1"/>
  <c r="Q13" i="6"/>
  <c r="O25" i="6" a="1"/>
  <c r="O25" i="6" s="1"/>
  <c r="P25" i="6" s="1"/>
  <c r="W25" i="6" s="1"/>
  <c r="Q25" i="6"/>
  <c r="O37" i="6" a="1"/>
  <c r="O37" i="6" s="1"/>
  <c r="P37" i="6" s="1"/>
  <c r="W37" i="6" s="1"/>
  <c r="Q37" i="6"/>
  <c r="O24" i="6" a="1"/>
  <c r="O24" i="6" s="1"/>
  <c r="P24" i="6" s="1"/>
  <c r="W24" i="6" s="1"/>
  <c r="Q24" i="6"/>
  <c r="O36" i="6" a="1"/>
  <c r="O36" i="6" s="1"/>
  <c r="P36" i="6" s="1"/>
  <c r="W36" i="6" s="1"/>
  <c r="Q36" i="6"/>
  <c r="O12" i="6" a="1"/>
  <c r="O12" i="6" s="1"/>
  <c r="P12" i="6" s="1"/>
  <c r="W12" i="6" s="1"/>
  <c r="Q12" i="6"/>
  <c r="O11" i="6" a="1"/>
  <c r="O11" i="6" s="1"/>
  <c r="P11" i="6" s="1"/>
  <c r="W11" i="6" s="1"/>
  <c r="Q11" i="6"/>
  <c r="O23" i="6" a="1"/>
  <c r="O23" i="6" s="1"/>
  <c r="P23" i="6" s="1"/>
  <c r="W23" i="6" s="1"/>
  <c r="Q23" i="6"/>
  <c r="O35" i="6" a="1"/>
  <c r="O35" i="6" s="1"/>
  <c r="P35" i="6" s="1"/>
  <c r="W35" i="6" s="1"/>
  <c r="Q35" i="6"/>
  <c r="Q22" i="6"/>
  <c r="O22" i="6" a="1"/>
  <c r="O22" i="6" s="1"/>
  <c r="P22" i="6" s="1"/>
  <c r="W22" i="6" s="1"/>
  <c r="Q34" i="6"/>
  <c r="O34" i="6" a="1"/>
  <c r="O34" i="6" s="1"/>
  <c r="P34" i="6" s="1"/>
  <c r="W34" i="6" s="1"/>
  <c r="V18" i="6"/>
  <c r="V30" i="6"/>
  <c r="T15" i="6"/>
  <c r="T27" i="6"/>
  <c r="T14" i="6"/>
  <c r="T26" i="6"/>
  <c r="T12" i="6"/>
  <c r="T24" i="6"/>
  <c r="T36" i="6"/>
  <c r="T11" i="6"/>
  <c r="T23" i="6"/>
  <c r="T35" i="6"/>
  <c r="T22" i="6"/>
  <c r="T34" i="6"/>
  <c r="V11" i="6"/>
  <c r="V39" i="6" s="1"/>
  <c r="T33" i="6"/>
  <c r="T20" i="6"/>
  <c r="T32" i="6"/>
  <c r="J4" i="16" l="1"/>
  <c r="M4" i="16"/>
  <c r="K4" i="16"/>
  <c r="Q39" i="6"/>
  <c r="Q41" i="6" s="1"/>
  <c r="W39" i="6"/>
  <c r="T39" i="6"/>
  <c r="L4" i="16" l="1"/>
  <c r="F4" i="16"/>
  <c r="H4" i="16"/>
  <c r="G4" i="16"/>
  <c r="S4" i="16"/>
  <c r="R4" i="16"/>
  <c r="V44" i="6"/>
  <c r="W41" i="6"/>
  <c r="Y71" i="2"/>
  <c r="D69" i="2"/>
  <c r="E64" i="2"/>
  <c r="E65" i="2"/>
  <c r="E66" i="2"/>
  <c r="E67" i="2"/>
  <c r="Q12" i="2"/>
  <c r="R12" i="2"/>
  <c r="R61" i="2"/>
  <c r="R63" i="2"/>
  <c r="S11" i="2"/>
  <c r="T11" i="2"/>
  <c r="S12" i="2"/>
  <c r="T12" i="2"/>
  <c r="S13" i="2"/>
  <c r="T13" i="2"/>
  <c r="S14" i="2"/>
  <c r="T14" i="2"/>
  <c r="S15" i="2"/>
  <c r="T15" i="2"/>
  <c r="Q11" i="2"/>
  <c r="Q13" i="2"/>
  <c r="Q14" i="2"/>
  <c r="Q15" i="2"/>
  <c r="AC61" i="2"/>
  <c r="AC63" i="2"/>
  <c r="AB61" i="2"/>
  <c r="AB63" i="2"/>
  <c r="AA61" i="2"/>
  <c r="AA63" i="2"/>
  <c r="Z61" i="2"/>
  <c r="Z63" i="2"/>
  <c r="Y61" i="2"/>
  <c r="Y63" i="2"/>
  <c r="X61" i="2"/>
  <c r="X63" i="2"/>
  <c r="J11" i="2"/>
  <c r="J12" i="2"/>
  <c r="J13" i="2"/>
  <c r="J14" i="2"/>
  <c r="J15" i="2"/>
  <c r="J16" i="2"/>
  <c r="J17" i="2"/>
  <c r="J18" i="2"/>
  <c r="J19" i="2"/>
  <c r="J20" i="2"/>
  <c r="J21" i="2"/>
  <c r="U12" i="2"/>
  <c r="V12" i="2" s="1"/>
  <c r="U16" i="2"/>
  <c r="V16" i="2" s="1"/>
  <c r="U17" i="2"/>
  <c r="V17" i="2" s="1"/>
  <c r="U18" i="2"/>
  <c r="V18" i="2" s="1"/>
  <c r="U19" i="2"/>
  <c r="V19" i="2" s="1"/>
  <c r="U20" i="2"/>
  <c r="V20" i="2" s="1"/>
  <c r="U21" i="2"/>
  <c r="V21" i="2" s="1"/>
  <c r="U22" i="2"/>
  <c r="V22" i="2"/>
  <c r="U23" i="2"/>
  <c r="U24" i="2"/>
  <c r="V24" i="2"/>
  <c r="U25" i="2"/>
  <c r="U26" i="2"/>
  <c r="U27" i="2"/>
  <c r="U28" i="2"/>
  <c r="U29" i="2"/>
  <c r="U30" i="2"/>
  <c r="V30" i="2"/>
  <c r="U31" i="2"/>
  <c r="U32" i="2"/>
  <c r="U33" i="2"/>
  <c r="U34" i="2"/>
  <c r="U35" i="2"/>
  <c r="V35" i="2" s="1"/>
  <c r="U36" i="2"/>
  <c r="V36" i="2" s="1"/>
  <c r="U37" i="2"/>
  <c r="U38" i="2"/>
  <c r="V38" i="2" s="1"/>
  <c r="U39" i="2"/>
  <c r="U40" i="2"/>
  <c r="U41" i="2"/>
  <c r="U42" i="2"/>
  <c r="U43" i="2"/>
  <c r="U44" i="2"/>
  <c r="U45" i="2"/>
  <c r="V45" i="2" s="1"/>
  <c r="U46" i="2"/>
  <c r="U47" i="2"/>
  <c r="U48" i="2"/>
  <c r="U49" i="2"/>
  <c r="U50" i="2"/>
  <c r="U51" i="2"/>
  <c r="U52" i="2"/>
  <c r="U53" i="2"/>
  <c r="V53" i="2"/>
  <c r="U54" i="2"/>
  <c r="U55" i="2"/>
  <c r="V55" i="2"/>
  <c r="U56" i="2"/>
  <c r="V56" i="2" s="1"/>
  <c r="U57" i="2"/>
  <c r="V57" i="2"/>
  <c r="U58" i="2"/>
  <c r="U59" i="2"/>
  <c r="U11" i="2"/>
  <c r="V11" i="2"/>
  <c r="F60" i="2"/>
  <c r="F61" i="2"/>
  <c r="S59" i="2"/>
  <c r="T59" i="2"/>
  <c r="Q59" i="2"/>
  <c r="O59" i="2" a="1"/>
  <c r="O59" i="2" s="1"/>
  <c r="P59" i="2" s="1"/>
  <c r="W59" i="2" s="1"/>
  <c r="J59" i="2"/>
  <c r="V59" i="2"/>
  <c r="S58" i="2"/>
  <c r="T58" i="2"/>
  <c r="Q58" i="2"/>
  <c r="O58" i="2" a="1"/>
  <c r="O58" i="2" s="1"/>
  <c r="P58" i="2" s="1"/>
  <c r="W58" i="2" s="1"/>
  <c r="J58" i="2"/>
  <c r="V58" i="2"/>
  <c r="S57" i="2"/>
  <c r="T57" i="2"/>
  <c r="Q57" i="2"/>
  <c r="O57" i="2" a="1"/>
  <c r="O57" i="2" s="1"/>
  <c r="P57" i="2" s="1"/>
  <c r="W57" i="2" s="1"/>
  <c r="J57" i="2"/>
  <c r="S56" i="2"/>
  <c r="T56" i="2"/>
  <c r="Q56" i="2"/>
  <c r="O56" i="2" a="1"/>
  <c r="O56" i="2" s="1"/>
  <c r="P56" i="2" s="1"/>
  <c r="W56" i="2" s="1"/>
  <c r="J56" i="2"/>
  <c r="S55" i="2"/>
  <c r="T55" i="2"/>
  <c r="Q55" i="2"/>
  <c r="O55" i="2" a="1"/>
  <c r="O55" i="2" s="1"/>
  <c r="P55" i="2" s="1"/>
  <c r="W55" i="2" s="1"/>
  <c r="J55" i="2"/>
  <c r="S54" i="2"/>
  <c r="T54" i="2"/>
  <c r="Q54" i="2"/>
  <c r="O54" i="2" a="1"/>
  <c r="O54" i="2" s="1"/>
  <c r="P54" i="2" s="1"/>
  <c r="W54" i="2" s="1"/>
  <c r="J54" i="2"/>
  <c r="V54" i="2"/>
  <c r="S53" i="2"/>
  <c r="T53" i="2"/>
  <c r="Q53" i="2"/>
  <c r="O53" i="2" a="1"/>
  <c r="O53" i="2" s="1"/>
  <c r="P53" i="2" s="1"/>
  <c r="W53" i="2" s="1"/>
  <c r="J53" i="2"/>
  <c r="S52" i="2"/>
  <c r="T52" i="2"/>
  <c r="Q52" i="2"/>
  <c r="O52" i="2" a="1"/>
  <c r="O52" i="2" s="1"/>
  <c r="P52" i="2" s="1"/>
  <c r="W52" i="2" s="1"/>
  <c r="J52" i="2"/>
  <c r="V52" i="2"/>
  <c r="S51" i="2"/>
  <c r="T51" i="2"/>
  <c r="Q51" i="2"/>
  <c r="O51" i="2" a="1"/>
  <c r="O51" i="2" s="1"/>
  <c r="P51" i="2" s="1"/>
  <c r="W51" i="2" s="1"/>
  <c r="J51" i="2"/>
  <c r="S50" i="2"/>
  <c r="T50" i="2"/>
  <c r="Q50" i="2"/>
  <c r="O50" i="2" a="1"/>
  <c r="O50" i="2"/>
  <c r="P50" i="2" s="1"/>
  <c r="W50" i="2" s="1"/>
  <c r="J50" i="2"/>
  <c r="V50" i="2"/>
  <c r="S49" i="2"/>
  <c r="T49" i="2"/>
  <c r="Q49" i="2"/>
  <c r="O49" i="2" a="1"/>
  <c r="O49" i="2" s="1"/>
  <c r="P49" i="2" s="1"/>
  <c r="W49" i="2" s="1"/>
  <c r="J49" i="2"/>
  <c r="V49" i="2"/>
  <c r="S48" i="2"/>
  <c r="T48" i="2"/>
  <c r="Q48" i="2"/>
  <c r="O48" i="2" a="1"/>
  <c r="O48" i="2" s="1"/>
  <c r="P48" i="2" s="1"/>
  <c r="W48" i="2" s="1"/>
  <c r="J48" i="2"/>
  <c r="V48" i="2"/>
  <c r="S47" i="2"/>
  <c r="T47" i="2"/>
  <c r="Q47" i="2"/>
  <c r="O47" i="2" a="1"/>
  <c r="O47" i="2"/>
  <c r="P47" i="2" s="1"/>
  <c r="W47" i="2" s="1"/>
  <c r="J47" i="2"/>
  <c r="V47" i="2"/>
  <c r="S46" i="2"/>
  <c r="T46" i="2"/>
  <c r="Q46" i="2"/>
  <c r="O46" i="2" a="1"/>
  <c r="O46" i="2" s="1"/>
  <c r="P46" i="2" s="1"/>
  <c r="W46" i="2" s="1"/>
  <c r="J46" i="2"/>
  <c r="V46" i="2"/>
  <c r="S45" i="2"/>
  <c r="T45" i="2"/>
  <c r="Q45" i="2"/>
  <c r="O45" i="2" a="1"/>
  <c r="O45" i="2" s="1"/>
  <c r="P45" i="2" s="1"/>
  <c r="W45" i="2" s="1"/>
  <c r="J45" i="2"/>
  <c r="S44" i="2"/>
  <c r="T44" i="2"/>
  <c r="Q44" i="2"/>
  <c r="O44" i="2" a="1"/>
  <c r="O44" i="2" s="1"/>
  <c r="P44" i="2" s="1"/>
  <c r="W44" i="2" s="1"/>
  <c r="J44" i="2"/>
  <c r="V44" i="2"/>
  <c r="S43" i="2"/>
  <c r="T43" i="2"/>
  <c r="Q43" i="2"/>
  <c r="O43" i="2" a="1"/>
  <c r="O43" i="2"/>
  <c r="P43" i="2" s="1"/>
  <c r="W43" i="2" s="1"/>
  <c r="J43" i="2"/>
  <c r="V43" i="2"/>
  <c r="S42" i="2"/>
  <c r="T42" i="2"/>
  <c r="Q42" i="2"/>
  <c r="O42" i="2" a="1"/>
  <c r="O42" i="2" s="1"/>
  <c r="P42" i="2" s="1"/>
  <c r="W42" i="2" s="1"/>
  <c r="J42" i="2"/>
  <c r="V42" i="2"/>
  <c r="S41" i="2"/>
  <c r="T41" i="2"/>
  <c r="Q41" i="2"/>
  <c r="O41" i="2" a="1"/>
  <c r="O41" i="2" s="1"/>
  <c r="P41" i="2" s="1"/>
  <c r="W41" i="2" s="1"/>
  <c r="J41" i="2"/>
  <c r="V41" i="2"/>
  <c r="S40" i="2"/>
  <c r="T40" i="2"/>
  <c r="Q40" i="2"/>
  <c r="O40" i="2" a="1"/>
  <c r="O40" i="2" s="1"/>
  <c r="P40" i="2" s="1"/>
  <c r="W40" i="2" s="1"/>
  <c r="J40" i="2"/>
  <c r="V40" i="2"/>
  <c r="S39" i="2"/>
  <c r="T39" i="2"/>
  <c r="Q39" i="2"/>
  <c r="O39" i="2" a="1"/>
  <c r="O39" i="2" s="1"/>
  <c r="P39" i="2" s="1"/>
  <c r="W39" i="2" s="1"/>
  <c r="J39" i="2"/>
  <c r="V39" i="2"/>
  <c r="S38" i="2"/>
  <c r="Q38" i="2"/>
  <c r="O38" i="2" a="1"/>
  <c r="O38" i="2"/>
  <c r="P38" i="2" s="1"/>
  <c r="W38" i="2" s="1"/>
  <c r="J38" i="2"/>
  <c r="S37" i="2"/>
  <c r="T37" i="2"/>
  <c r="Q37" i="2"/>
  <c r="O37" i="2" a="1"/>
  <c r="O37" i="2" s="1"/>
  <c r="P37" i="2" s="1"/>
  <c r="W37" i="2" s="1"/>
  <c r="J37" i="2"/>
  <c r="V37" i="2"/>
  <c r="S36" i="2"/>
  <c r="Q36" i="2"/>
  <c r="O36" i="2" a="1"/>
  <c r="O36" i="2" s="1"/>
  <c r="P36" i="2" s="1"/>
  <c r="W36" i="2" s="1"/>
  <c r="J36" i="2"/>
  <c r="S35" i="2"/>
  <c r="T35" i="2"/>
  <c r="Q35" i="2"/>
  <c r="O35" i="2" a="1"/>
  <c r="O35" i="2"/>
  <c r="P35" i="2" s="1"/>
  <c r="W35" i="2" s="1"/>
  <c r="J35" i="2"/>
  <c r="S34" i="2"/>
  <c r="Q34" i="2"/>
  <c r="O34" i="2" a="1"/>
  <c r="O34" i="2" s="1"/>
  <c r="P34" i="2" s="1"/>
  <c r="W34" i="2" s="1"/>
  <c r="J34" i="2"/>
  <c r="V34" i="2"/>
  <c r="S33" i="2"/>
  <c r="T33" i="2"/>
  <c r="Q33" i="2"/>
  <c r="O33" i="2" a="1"/>
  <c r="O33" i="2" s="1"/>
  <c r="P33" i="2" s="1"/>
  <c r="W33" i="2" s="1"/>
  <c r="J33" i="2"/>
  <c r="V33" i="2"/>
  <c r="S32" i="2"/>
  <c r="Q32" i="2"/>
  <c r="O32" i="2" a="1"/>
  <c r="O32" i="2" s="1"/>
  <c r="P32" i="2" s="1"/>
  <c r="W32" i="2" s="1"/>
  <c r="J32" i="2"/>
  <c r="V32" i="2"/>
  <c r="S31" i="2"/>
  <c r="T31" i="2"/>
  <c r="Q31" i="2"/>
  <c r="O31" i="2" a="1"/>
  <c r="O31" i="2" s="1"/>
  <c r="P31" i="2" s="1"/>
  <c r="W31" i="2" s="1"/>
  <c r="J31" i="2"/>
  <c r="V31" i="2"/>
  <c r="S30" i="2"/>
  <c r="Q30" i="2"/>
  <c r="O30" i="2" a="1"/>
  <c r="O30" i="2"/>
  <c r="P30" i="2" s="1"/>
  <c r="W30" i="2" s="1"/>
  <c r="J30" i="2"/>
  <c r="S29" i="2"/>
  <c r="T29" i="2"/>
  <c r="Q29" i="2"/>
  <c r="O29" i="2" a="1"/>
  <c r="O29" i="2" s="1"/>
  <c r="P29" i="2" s="1"/>
  <c r="W29" i="2" s="1"/>
  <c r="J29" i="2"/>
  <c r="V29" i="2"/>
  <c r="S28" i="2"/>
  <c r="Q28" i="2"/>
  <c r="O28" i="2" a="1"/>
  <c r="O28" i="2" s="1"/>
  <c r="P28" i="2" s="1"/>
  <c r="W28" i="2" s="1"/>
  <c r="J28" i="2"/>
  <c r="S27" i="2"/>
  <c r="T27" i="2"/>
  <c r="Q27" i="2"/>
  <c r="O27" i="2" a="1"/>
  <c r="O27" i="2" s="1"/>
  <c r="P27" i="2" s="1"/>
  <c r="W27" i="2" s="1"/>
  <c r="J27" i="2"/>
  <c r="V27" i="2"/>
  <c r="S26" i="2"/>
  <c r="Q26" i="2"/>
  <c r="O26" i="2" a="1"/>
  <c r="O26" i="2" s="1"/>
  <c r="P26" i="2" s="1"/>
  <c r="W26" i="2" s="1"/>
  <c r="J26" i="2"/>
  <c r="V26" i="2"/>
  <c r="S25" i="2"/>
  <c r="T25" i="2"/>
  <c r="Q25" i="2"/>
  <c r="O25" i="2" a="1"/>
  <c r="O25" i="2"/>
  <c r="P25" i="2"/>
  <c r="W25" i="2" s="1"/>
  <c r="J25" i="2"/>
  <c r="V25" i="2"/>
  <c r="S24" i="2"/>
  <c r="Q24" i="2"/>
  <c r="O24" i="2" a="1"/>
  <c r="O24" i="2" s="1"/>
  <c r="P24" i="2" s="1"/>
  <c r="W24" i="2" s="1"/>
  <c r="J24" i="2"/>
  <c r="S23" i="2"/>
  <c r="T23" i="2"/>
  <c r="Q23" i="2"/>
  <c r="O23" i="2" a="1"/>
  <c r="O23" i="2"/>
  <c r="P23" i="2"/>
  <c r="W23" i="2"/>
  <c r="J23" i="2"/>
  <c r="V23" i="2"/>
  <c r="S22" i="2"/>
  <c r="Q22" i="2"/>
  <c r="O22" i="2" a="1"/>
  <c r="O22" i="2"/>
  <c r="P22" i="2"/>
  <c r="W22" i="2" s="1"/>
  <c r="J22" i="2"/>
  <c r="S21" i="2"/>
  <c r="T21" i="2"/>
  <c r="Q21" i="2"/>
  <c r="O21" i="2" a="1"/>
  <c r="O21" i="2" s="1"/>
  <c r="P21" i="2" s="1"/>
  <c r="W21" i="2" s="1"/>
  <c r="S20" i="2"/>
  <c r="Q20" i="2"/>
  <c r="O20" i="2" a="1"/>
  <c r="O20" i="2" s="1"/>
  <c r="P20" i="2" s="1"/>
  <c r="W20" i="2" s="1"/>
  <c r="S19" i="2"/>
  <c r="T19" i="2"/>
  <c r="Q19" i="2"/>
  <c r="O19" i="2" a="1"/>
  <c r="O19" i="2" s="1"/>
  <c r="P19" i="2" s="1"/>
  <c r="W19" i="2" s="1"/>
  <c r="S18" i="2"/>
  <c r="T18" i="2"/>
  <c r="Q18" i="2"/>
  <c r="O18" i="2" a="1"/>
  <c r="O18" i="2"/>
  <c r="P18" i="2"/>
  <c r="W18" i="2"/>
  <c r="S17" i="2"/>
  <c r="T17" i="2"/>
  <c r="Q17" i="2"/>
  <c r="Q61" i="2"/>
  <c r="Q63" i="2"/>
  <c r="O17" i="2" a="1"/>
  <c r="O17" i="2" s="1"/>
  <c r="P17" i="2" s="1"/>
  <c r="W17" i="2" s="1"/>
  <c r="S16" i="2"/>
  <c r="T16" i="2"/>
  <c r="Q16" i="2"/>
  <c r="O16" i="2" a="1"/>
  <c r="O16" i="2" s="1"/>
  <c r="P16" i="2" s="1"/>
  <c r="W16" i="2" s="1"/>
  <c r="O15" i="2" a="1"/>
  <c r="O15" i="2"/>
  <c r="P15" i="2"/>
  <c r="W15" i="2" s="1"/>
  <c r="O14" i="2" a="1"/>
  <c r="O14" i="2" s="1"/>
  <c r="P14" i="2" s="1"/>
  <c r="W14" i="2" s="1"/>
  <c r="O13" i="2" a="1"/>
  <c r="O13" i="2" s="1"/>
  <c r="P13" i="2" s="1"/>
  <c r="W13" i="2" s="1"/>
  <c r="O12" i="2" a="1"/>
  <c r="O12" i="2" s="1"/>
  <c r="P12" i="2" s="1"/>
  <c r="W12" i="2" s="1"/>
  <c r="O11" i="2" a="1"/>
  <c r="O11" i="2" s="1"/>
  <c r="P11" i="2" s="1"/>
  <c r="W11" i="2" s="1"/>
  <c r="U15" i="2"/>
  <c r="V15" i="2"/>
  <c r="U14" i="2"/>
  <c r="V14" i="2"/>
  <c r="V51" i="2"/>
  <c r="T38" i="2"/>
  <c r="T30" i="2"/>
  <c r="T24" i="2"/>
  <c r="T22" i="2"/>
  <c r="U13" i="2"/>
  <c r="V13" i="2" s="1"/>
  <c r="L15" i="4"/>
  <c r="L16" i="4"/>
  <c r="L17" i="4"/>
  <c r="L19" i="4"/>
  <c r="L20" i="4"/>
  <c r="D15" i="4"/>
  <c r="E25" i="4"/>
  <c r="E26" i="4"/>
  <c r="D22" i="4"/>
  <c r="L22" i="4"/>
  <c r="L10" i="4"/>
  <c r="D9" i="4"/>
  <c r="T20" i="2"/>
  <c r="T28" i="2"/>
  <c r="V28" i="2"/>
  <c r="T36" i="2"/>
  <c r="T32" i="2"/>
  <c r="S61" i="2"/>
  <c r="S63" i="2"/>
  <c r="T26" i="2"/>
  <c r="T61" i="2"/>
  <c r="T63" i="2"/>
  <c r="T34" i="2"/>
  <c r="E68" i="2"/>
  <c r="E69" i="2"/>
  <c r="Q4" i="16" l="1"/>
  <c r="V49" i="6"/>
  <c r="W49" i="6" s="1"/>
  <c r="W44" i="6"/>
  <c r="W61" i="2"/>
  <c r="W63" i="2" s="1"/>
  <c r="V61" i="2"/>
  <c r="V63" i="2" l="1"/>
  <c r="AD61" i="2"/>
  <c r="AD63" i="2" s="1"/>
  <c r="V66" i="2" l="1"/>
  <c r="W66" i="2" l="1"/>
  <c r="V71" i="2"/>
  <c r="W71" i="2" s="1"/>
</calcChain>
</file>

<file path=xl/sharedStrings.xml><?xml version="1.0" encoding="utf-8"?>
<sst xmlns="http://schemas.openxmlformats.org/spreadsheetml/2006/main" count="271" uniqueCount="164">
  <si>
    <t>Lot</t>
  </si>
  <si>
    <t>Référence</t>
  </si>
  <si>
    <t>Dimensions</t>
  </si>
  <si>
    <t>Epaisseur</t>
  </si>
  <si>
    <t>Nuance</t>
  </si>
  <si>
    <t>Lancement</t>
  </si>
  <si>
    <t>Poids Unit. Net (kg)</t>
  </si>
  <si>
    <t>Poids total net (kg)</t>
  </si>
  <si>
    <t>Surface (m²)</t>
  </si>
  <si>
    <t>Longueur soudure
 unitaire (m)</t>
  </si>
  <si>
    <t>Longueur soudure
 totale (m)</t>
  </si>
  <si>
    <t>Gorge 
du cordon</t>
  </si>
  <si>
    <t>Poids  soudure (kg)</t>
  </si>
  <si>
    <t>Temps 
au mètre</t>
  </si>
  <si>
    <t>Coef. Position 
de soudage</t>
  </si>
  <si>
    <t>Temps 
assemblage unit.</t>
  </si>
  <si>
    <t>Temps 
assemblage total</t>
  </si>
  <si>
    <t>Manutention</t>
  </si>
  <si>
    <t>Préparation</t>
  </si>
  <si>
    <t>Préchauffage</t>
  </si>
  <si>
    <t>Contrôle CND</t>
  </si>
  <si>
    <t>Contrôle 
colisage</t>
  </si>
  <si>
    <t>Finition</t>
  </si>
  <si>
    <t xml:space="preserve">Densité de l'acier </t>
  </si>
  <si>
    <r>
      <t>kg /m</t>
    </r>
    <r>
      <rPr>
        <b/>
        <vertAlign val="superscript"/>
        <sz val="11"/>
        <color indexed="8"/>
        <rFont val="Calibri"/>
        <family val="2"/>
      </rPr>
      <t>3</t>
    </r>
  </si>
  <si>
    <t>Temps total</t>
  </si>
  <si>
    <t>Gouttière</t>
  </si>
  <si>
    <t>Angle simple
 a =</t>
  </si>
  <si>
    <t>Redressage</t>
  </si>
  <si>
    <t>Accessibilité</t>
  </si>
  <si>
    <t>1,1 à 1,5</t>
  </si>
  <si>
    <t>Ressuage</t>
  </si>
  <si>
    <t xml:space="preserve">Radio US </t>
  </si>
  <si>
    <t>EE</t>
  </si>
  <si>
    <t>TIG</t>
  </si>
  <si>
    <t>Coefficient de soudage</t>
  </si>
  <si>
    <t>TOTAL Lancement</t>
  </si>
  <si>
    <t>Soudage manuel</t>
  </si>
  <si>
    <t>Soudage robotisé</t>
  </si>
  <si>
    <t>Type</t>
  </si>
  <si>
    <t>ISO 5817</t>
  </si>
  <si>
    <t>Soudure en V</t>
  </si>
  <si>
    <t>PC</t>
  </si>
  <si>
    <t>PE</t>
  </si>
  <si>
    <t>PF</t>
  </si>
  <si>
    <t>Formule de calcul du coût de la main-d'œuvre</t>
  </si>
  <si>
    <t>Taux de charge horaire (TC)</t>
  </si>
  <si>
    <t>Vitesse de dépôt par heure (VD)</t>
  </si>
  <si>
    <t>Facteur de marche (FM)</t>
  </si>
  <si>
    <t>Coût de la main-d'œuvre</t>
  </si>
  <si>
    <t>kg / h</t>
  </si>
  <si>
    <t>€ / kg</t>
  </si>
  <si>
    <t xml:space="preserve"> € / h</t>
  </si>
  <si>
    <t>Formule de calcul du coût du métal d'apport</t>
  </si>
  <si>
    <t>Rendement du métal d'apport (RMA)</t>
  </si>
  <si>
    <t>Prix d'achat du métal d'apport (PMA)</t>
  </si>
  <si>
    <t>Coût du métal d'apport</t>
  </si>
  <si>
    <t xml:space="preserve"> € / kg</t>
  </si>
  <si>
    <t>Formule de calcul du coût du gaz de protection</t>
  </si>
  <si>
    <t>Débit de gaz horaire (DGH)</t>
  </si>
  <si>
    <t>Coût du gaz de protection</t>
  </si>
  <si>
    <t xml:space="preserve"> l / min</t>
  </si>
  <si>
    <r>
      <t>€ / m</t>
    </r>
    <r>
      <rPr>
        <vertAlign val="superscript"/>
        <sz val="11"/>
        <color indexed="8"/>
        <rFont val="Calibri"/>
        <family val="2"/>
      </rPr>
      <t>3</t>
    </r>
  </si>
  <si>
    <r>
      <t xml:space="preserve"> m</t>
    </r>
    <r>
      <rPr>
        <vertAlign val="superscript"/>
        <sz val="11"/>
        <color indexed="8"/>
        <rFont val="Calibri"/>
        <family val="2"/>
      </rPr>
      <t>3</t>
    </r>
    <r>
      <rPr>
        <sz val="11"/>
        <color theme="1"/>
        <rFont val="Calibri"/>
        <family val="2"/>
        <scheme val="minor"/>
      </rPr>
      <t xml:space="preserve"> / h</t>
    </r>
  </si>
  <si>
    <t>Formule de calcul du coût de l'énergie</t>
  </si>
  <si>
    <t>Ampérage (I)</t>
  </si>
  <si>
    <t>Coût de l'énergie</t>
  </si>
  <si>
    <t>Voltage (U)</t>
  </si>
  <si>
    <t>Prix d'achat du kWh (KW)</t>
  </si>
  <si>
    <t xml:space="preserve"> € / kWh</t>
  </si>
  <si>
    <t>A</t>
  </si>
  <si>
    <t>V</t>
  </si>
  <si>
    <t>Calcul de poids de métal à déposer</t>
  </si>
  <si>
    <t xml:space="preserve">Tolérance de calcul + 10% </t>
  </si>
  <si>
    <t>La gorge de la soudure ou apothème</t>
  </si>
  <si>
    <t>Section</t>
  </si>
  <si>
    <t>Volume par mètre</t>
  </si>
  <si>
    <t>Densité de l'acier</t>
  </si>
  <si>
    <t>Calcul du poids de métal</t>
  </si>
  <si>
    <t>mm</t>
  </si>
  <si>
    <t>mm²</t>
  </si>
  <si>
    <t xml:space="preserve">kg / m </t>
  </si>
  <si>
    <t>€ / m</t>
  </si>
  <si>
    <t>Prix au mètre</t>
  </si>
  <si>
    <t>Valeur à renseigner</t>
  </si>
  <si>
    <t>Prix de la soudure au mètre</t>
  </si>
  <si>
    <r>
      <t>Prix au m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 xml:space="preserve"> de gaz (PGM) </t>
    </r>
  </si>
  <si>
    <r>
      <t>dm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/m</t>
    </r>
  </si>
  <si>
    <r>
      <t>kg /m</t>
    </r>
    <r>
      <rPr>
        <vertAlign val="superscript"/>
        <sz val="11"/>
        <color indexed="8"/>
        <rFont val="Calibri"/>
        <family val="2"/>
      </rPr>
      <t>3</t>
    </r>
  </si>
  <si>
    <t>Unité de mesure</t>
  </si>
  <si>
    <t>Valeur calculé</t>
  </si>
  <si>
    <t>Calcul d'une soudure au mètre</t>
  </si>
  <si>
    <t>l / h</t>
  </si>
  <si>
    <t>Résultat</t>
  </si>
  <si>
    <t>Poids arrondi des pièces</t>
  </si>
  <si>
    <t>Temps (ch)</t>
  </si>
  <si>
    <t>Poids des 
pièces (kg)</t>
  </si>
  <si>
    <t>N° demande d'offre</t>
  </si>
  <si>
    <t>Descriptif devis</t>
  </si>
  <si>
    <t>N° de plan</t>
  </si>
  <si>
    <t>Révision</t>
  </si>
  <si>
    <t>Temps de soudage</t>
  </si>
  <si>
    <t>Quantité Ens.</t>
  </si>
  <si>
    <t>Lancement  Ens. Unitaire</t>
  </si>
  <si>
    <t>COÛT TOTAL FR</t>
  </si>
  <si>
    <t>Taux horaire soud. Robotisé</t>
  </si>
  <si>
    <t>Taux horaire soud. Manuel FR</t>
  </si>
  <si>
    <t>CALCUL DU COÛT DE SOUDAGE MANUEL</t>
  </si>
  <si>
    <t>CALCUL DU COÛT DE SOUDAGE ROBOT</t>
  </si>
  <si>
    <t>Etude Outillage</t>
  </si>
  <si>
    <t>Tps Réalisation Outillage</t>
  </si>
  <si>
    <t>Programmation robot</t>
  </si>
  <si>
    <t>PP</t>
  </si>
  <si>
    <t>Matière</t>
  </si>
  <si>
    <t>TOTAL</t>
  </si>
  <si>
    <t>PARTICIPATION OUTILLAGE:</t>
  </si>
  <si>
    <t xml:space="preserve">Contrôle </t>
  </si>
  <si>
    <r>
      <t>kg /m</t>
    </r>
    <r>
      <rPr>
        <b/>
        <vertAlign val="superscript"/>
        <sz val="11"/>
        <color indexed="8"/>
        <rFont val="Calibri"/>
        <family val="2"/>
      </rPr>
      <t>3</t>
    </r>
  </si>
  <si>
    <t>Coefficient</t>
  </si>
  <si>
    <t>Total Lancement</t>
  </si>
  <si>
    <t xml:space="preserve"> Unitaire</t>
  </si>
  <si>
    <t>Alloué</t>
  </si>
  <si>
    <t>Unitaire</t>
  </si>
  <si>
    <t>Série</t>
  </si>
  <si>
    <t>Poids net.</t>
  </si>
  <si>
    <t>Surface</t>
  </si>
  <si>
    <t>Lg soudure</t>
  </si>
  <si>
    <t>Poids soudure</t>
  </si>
  <si>
    <t>Poids soudure unitaire</t>
  </si>
  <si>
    <t>Lgr soudure unitaire</t>
  </si>
  <si>
    <t>Surface unitaire</t>
  </si>
  <si>
    <t>Poids unitaire</t>
  </si>
  <si>
    <t>Soudage</t>
  </si>
  <si>
    <t>Assemblage</t>
  </si>
  <si>
    <t>Assemblage unitaire</t>
  </si>
  <si>
    <t>Soudage  unitaire</t>
  </si>
  <si>
    <t>Autres opérations</t>
  </si>
  <si>
    <t>Autres opérations unitaire</t>
  </si>
  <si>
    <t>Surf Util</t>
  </si>
  <si>
    <t>--</t>
  </si>
  <si>
    <t>Qté</t>
  </si>
  <si>
    <t>Désignation</t>
  </si>
  <si>
    <t>Plan</t>
  </si>
  <si>
    <t>Indice</t>
  </si>
  <si>
    <t>Poids   unit      (Kg)</t>
  </si>
  <si>
    <t>Poids  total      (Kg)</t>
  </si>
  <si>
    <t>Assemblage (h)</t>
  </si>
  <si>
    <t>Lgr        Sd. unit.   (m)</t>
  </si>
  <si>
    <t>Lgr        Sd. total   (m)</t>
  </si>
  <si>
    <t>Poids Sd.unit  (Kg)</t>
  </si>
  <si>
    <t>Poids    Sd. total      (Kg)</t>
  </si>
  <si>
    <t>Soudure (h)</t>
  </si>
  <si>
    <t>Manut. (h)</t>
  </si>
  <si>
    <t>Redressage    éventuel   (h)</t>
  </si>
  <si>
    <t>Finition      Controle (h)</t>
  </si>
  <si>
    <t>Tps unit.              (h)</t>
  </si>
  <si>
    <t>Tps total.              (h)</t>
  </si>
  <si>
    <t>Cout   unit.       (€)</t>
  </si>
  <si>
    <t>Cout      total.          (€)</t>
  </si>
  <si>
    <t>Cout   outillage       (€)</t>
  </si>
  <si>
    <t>TOTAUX</t>
  </si>
  <si>
    <t>DESIGNATION</t>
  </si>
  <si>
    <t>Quantité Ensemble</t>
  </si>
  <si>
    <t>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</si>
</sst>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.00\ &quot;€&quot;"/>
    <numFmt numFmtId="165" formatCode="0.000"/>
    <numFmt numFmtId="166" formatCode="0.0000"/>
    <numFmt numFmtId="167" formatCode="#,##0.00_ ;\-#,##0.00\ "/>
  </numFmts>
  <fonts count="60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u/>
      <sz val="11"/>
      <color indexed="8"/>
      <name val="Calibri"/>
      <family val="2"/>
    </font>
    <font>
      <b/>
      <vertAlign val="superscript"/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vertAlign val="superscript"/>
      <sz val="11"/>
      <color indexed="8"/>
      <name val="Calibri"/>
      <family val="2"/>
    </font>
    <font>
      <sz val="14"/>
      <color indexed="8"/>
      <name val="Calibri"/>
      <family val="2"/>
    </font>
    <font>
      <sz val="14"/>
      <name val="Arial"/>
      <family val="2"/>
    </font>
    <font>
      <b/>
      <sz val="14"/>
      <color indexed="8"/>
      <name val="Calibri"/>
      <family val="2"/>
    </font>
    <font>
      <vertAlign val="superscript"/>
      <sz val="9"/>
      <name val="Arial"/>
      <family val="2"/>
    </font>
    <font>
      <vertAlign val="superscript"/>
      <sz val="10"/>
      <name val="Arial"/>
      <family val="2"/>
    </font>
    <font>
      <sz val="20"/>
      <color indexed="8"/>
      <name val="Calibri"/>
      <family val="2"/>
    </font>
    <font>
      <sz val="22"/>
      <color indexed="8"/>
      <name val="Calibri"/>
      <family val="2"/>
    </font>
    <font>
      <b/>
      <sz val="22"/>
      <color indexed="8"/>
      <name val="Calibri"/>
      <family val="2"/>
    </font>
    <font>
      <b/>
      <i/>
      <sz val="12"/>
      <color indexed="8"/>
      <name val="Calibri"/>
      <family val="2"/>
    </font>
    <font>
      <sz val="8"/>
      <name val="Calibri"/>
      <family val="2"/>
    </font>
    <font>
      <b/>
      <sz val="14"/>
      <name val="Calibri"/>
      <family val="2"/>
    </font>
    <font>
      <sz val="14"/>
      <name val="Calibri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Calibri"/>
      <family val="2"/>
    </font>
    <font>
      <b/>
      <sz val="11"/>
      <name val="Calibri"/>
      <family val="2"/>
    </font>
    <font>
      <i/>
      <sz val="11"/>
      <color indexed="8"/>
      <name val="Calibri"/>
      <family val="2"/>
    </font>
    <font>
      <i/>
      <u/>
      <sz val="11"/>
      <color indexed="8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22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4"/>
      <color indexed="8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2"/>
      <color indexed="8"/>
      <name val="Calibri"/>
      <family val="2"/>
      <scheme val="minor"/>
    </font>
    <font>
      <b/>
      <u/>
      <sz val="11"/>
      <color indexed="8"/>
      <name val="Calibri"/>
      <family val="2"/>
      <scheme val="minor"/>
    </font>
    <font>
      <i/>
      <sz val="14"/>
      <color indexed="8"/>
      <name val="Calibri"/>
      <family val="2"/>
      <scheme val="minor"/>
    </font>
    <font>
      <i/>
      <u/>
      <sz val="14"/>
      <color indexed="8"/>
      <name val="Calibri"/>
      <family val="2"/>
      <scheme val="minor"/>
    </font>
    <font>
      <b/>
      <sz val="12"/>
      <name val="Calibri"/>
      <family val="2"/>
      <scheme val="minor"/>
    </font>
    <font>
      <b/>
      <i/>
      <sz val="11"/>
      <color indexed="8"/>
      <name val="Calibri"/>
      <family val="2"/>
      <scheme val="minor"/>
    </font>
    <font>
      <b/>
      <i/>
      <sz val="11"/>
      <name val="Calibri"/>
      <family val="2"/>
      <scheme val="minor"/>
    </font>
    <font>
      <i/>
      <sz val="11"/>
      <color indexed="8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0"/>
      </left>
      <right style="thin">
        <color indexed="20"/>
      </right>
      <top/>
      <bottom style="thin">
        <color indexed="20"/>
      </bottom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0"/>
      </left>
      <right style="thin">
        <color indexed="64"/>
      </right>
      <top style="medium">
        <color indexed="64"/>
      </top>
      <bottom style="thin">
        <color indexed="2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0"/>
      </left>
      <right style="thin">
        <color indexed="64"/>
      </right>
      <top style="thin">
        <color indexed="20"/>
      </top>
      <bottom style="thin">
        <color indexed="20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53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/>
    </xf>
    <xf numFmtId="0" fontId="0" fillId="4" borderId="3" xfId="0" applyFill="1" applyBorder="1"/>
    <xf numFmtId="2" fontId="0" fillId="4" borderId="1" xfId="0" applyNumberFormat="1" applyFill="1" applyBorder="1" applyAlignment="1">
      <alignment horizontal="center" vertical="center"/>
    </xf>
    <xf numFmtId="0" fontId="0" fillId="4" borderId="5" xfId="0" applyFill="1" applyBorder="1" applyAlignment="1">
      <alignment horizontal="center"/>
    </xf>
    <xf numFmtId="0" fontId="0" fillId="4" borderId="6" xfId="0" applyNumberFormat="1" applyFill="1" applyBorder="1" applyAlignment="1">
      <alignment horizontal="center" vertical="center"/>
    </xf>
    <xf numFmtId="0" fontId="31" fillId="3" borderId="1" xfId="4" applyNumberFormat="1" applyFon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2" fontId="0" fillId="4" borderId="7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5" fontId="7" fillId="4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left" vertical="center" indent="2"/>
    </xf>
    <xf numFmtId="0" fontId="8" fillId="5" borderId="4" xfId="0" applyFont="1" applyFill="1" applyBorder="1" applyAlignment="1">
      <alignment horizontal="left" vertical="center" indent="2"/>
    </xf>
    <xf numFmtId="0" fontId="8" fillId="5" borderId="5" xfId="0" applyFont="1" applyFill="1" applyBorder="1" applyAlignment="1">
      <alignment horizontal="left" vertical="center" indent="2"/>
    </xf>
    <xf numFmtId="0" fontId="0" fillId="4" borderId="1" xfId="0" applyFill="1" applyBorder="1" applyAlignment="1">
      <alignment horizontal="center"/>
    </xf>
    <xf numFmtId="0" fontId="6" fillId="3" borderId="2" xfId="0" applyFont="1" applyFill="1" applyBorder="1" applyAlignment="1">
      <alignment horizontal="left" vertical="center" indent="2"/>
    </xf>
    <xf numFmtId="0" fontId="6" fillId="3" borderId="8" xfId="0" applyFont="1" applyFill="1" applyBorder="1" applyAlignment="1">
      <alignment horizontal="left" vertical="center" indent="2"/>
    </xf>
    <xf numFmtId="0" fontId="6" fillId="3" borderId="9" xfId="0" applyFont="1" applyFill="1" applyBorder="1" applyAlignment="1">
      <alignment horizontal="left" vertical="center" indent="2"/>
    </xf>
    <xf numFmtId="0" fontId="7" fillId="5" borderId="2" xfId="0" applyFont="1" applyFill="1" applyBorder="1" applyAlignment="1">
      <alignment horizontal="left" vertical="center" indent="2"/>
    </xf>
    <xf numFmtId="0" fontId="7" fillId="5" borderId="8" xfId="0" applyFont="1" applyFill="1" applyBorder="1" applyAlignment="1">
      <alignment horizontal="left" vertical="center" indent="2"/>
    </xf>
    <xf numFmtId="0" fontId="7" fillId="5" borderId="9" xfId="0" applyFont="1" applyFill="1" applyBorder="1" applyAlignment="1">
      <alignment horizontal="left" vertical="center" indent="2"/>
    </xf>
    <xf numFmtId="0" fontId="7" fillId="5" borderId="1" xfId="0" applyFont="1" applyFill="1" applyBorder="1" applyAlignment="1">
      <alignment horizontal="left" vertical="center" indent="2"/>
    </xf>
    <xf numFmtId="0" fontId="7" fillId="5" borderId="4" xfId="0" applyFont="1" applyFill="1" applyBorder="1" applyAlignment="1">
      <alignment horizontal="left" vertical="center" indent="2"/>
    </xf>
    <xf numFmtId="0" fontId="7" fillId="5" borderId="5" xfId="0" applyFont="1" applyFill="1" applyBorder="1" applyAlignment="1">
      <alignment horizontal="left" vertical="center" indent="2"/>
    </xf>
    <xf numFmtId="0" fontId="7" fillId="5" borderId="1" xfId="0" applyFont="1" applyFill="1" applyBorder="1" applyAlignment="1">
      <alignment horizontal="left" indent="2"/>
    </xf>
    <xf numFmtId="0" fontId="7" fillId="5" borderId="4" xfId="0" applyFont="1" applyFill="1" applyBorder="1" applyAlignment="1">
      <alignment horizontal="left" indent="2"/>
    </xf>
    <xf numFmtId="0" fontId="7" fillId="5" borderId="5" xfId="0" applyFont="1" applyFill="1" applyBorder="1" applyAlignment="1">
      <alignment horizontal="left" indent="2"/>
    </xf>
    <xf numFmtId="0" fontId="0" fillId="2" borderId="3" xfId="0" applyFill="1" applyBorder="1"/>
    <xf numFmtId="2" fontId="0" fillId="2" borderId="1" xfId="0" applyNumberForma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9" fontId="31" fillId="6" borderId="12" xfId="4" applyFont="1" applyFill="1" applyBorder="1" applyAlignment="1">
      <alignment horizontal="center" vertical="center"/>
    </xf>
    <xf numFmtId="2" fontId="6" fillId="2" borderId="1" xfId="0" applyNumberFormat="1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7" fillId="6" borderId="11" xfId="0" applyFon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9" fontId="31" fillId="6" borderId="11" xfId="4" applyFont="1" applyFill="1" applyBorder="1" applyAlignment="1">
      <alignment horizontal="center" vertical="center"/>
    </xf>
    <xf numFmtId="0" fontId="0" fillId="6" borderId="3" xfId="0" applyFill="1" applyBorder="1"/>
    <xf numFmtId="0" fontId="0" fillId="0" borderId="0" xfId="0" applyFill="1" applyBorder="1" applyAlignment="1">
      <alignment horizontal="center"/>
    </xf>
    <xf numFmtId="0" fontId="11" fillId="0" borderId="0" xfId="0" applyFont="1"/>
    <xf numFmtId="0" fontId="24" fillId="0" borderId="0" xfId="0" applyFont="1" applyAlignment="1" applyProtection="1">
      <alignment horizontal="left"/>
      <protection locked="0"/>
    </xf>
    <xf numFmtId="0" fontId="25" fillId="0" borderId="0" xfId="0" applyFont="1" applyAlignment="1">
      <alignment horizontal="center"/>
    </xf>
    <xf numFmtId="0" fontId="23" fillId="0" borderId="0" xfId="0" applyFont="1" applyAlignment="1" applyProtection="1">
      <alignment horizontal="left"/>
      <protection locked="0"/>
    </xf>
    <xf numFmtId="0" fontId="25" fillId="0" borderId="0" xfId="0" applyFont="1" applyAlignment="1" applyProtection="1">
      <alignment horizontal="center"/>
      <protection locked="0"/>
    </xf>
    <xf numFmtId="0" fontId="25" fillId="0" borderId="0" xfId="0" applyFont="1"/>
    <xf numFmtId="0" fontId="26" fillId="0" borderId="0" xfId="0" applyFont="1"/>
    <xf numFmtId="0" fontId="26" fillId="0" borderId="0" xfId="0" applyFont="1" applyFill="1" applyBorder="1" applyAlignment="1">
      <alignment horizontal="center" vertical="center"/>
    </xf>
    <xf numFmtId="0" fontId="25" fillId="0" borderId="0" xfId="0" applyFont="1" applyAlignment="1" applyProtection="1">
      <alignment horizontal="left"/>
      <protection locked="0"/>
    </xf>
    <xf numFmtId="0" fontId="23" fillId="0" borderId="0" xfId="0" applyFont="1" applyAlignment="1">
      <alignment horizontal="center"/>
    </xf>
    <xf numFmtId="0" fontId="23" fillId="0" borderId="0" xfId="0" applyNumberFormat="1" applyFont="1" applyBorder="1" applyAlignment="1">
      <alignment horizontal="center"/>
    </xf>
    <xf numFmtId="0" fontId="23" fillId="0" borderId="0" xfId="0" applyFont="1" applyAlignment="1" applyProtection="1">
      <alignment horizontal="center"/>
      <protection locked="0"/>
    </xf>
    <xf numFmtId="0" fontId="23" fillId="0" borderId="0" xfId="0" applyNumberFormat="1" applyFont="1" applyBorder="1" applyAlignment="1" applyProtection="1">
      <alignment horizontal="center" vertical="center"/>
      <protection locked="0"/>
    </xf>
    <xf numFmtId="0" fontId="0" fillId="0" borderId="0" xfId="0" applyBorder="1"/>
    <xf numFmtId="0" fontId="11" fillId="7" borderId="0" xfId="0" applyFont="1" applyFill="1" applyBorder="1"/>
    <xf numFmtId="0" fontId="11" fillId="7" borderId="0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/>
    </xf>
    <xf numFmtId="164" fontId="11" fillId="7" borderId="0" xfId="0" applyNumberFormat="1" applyFont="1" applyFill="1" applyBorder="1" applyAlignment="1">
      <alignment horizontal="center" vertical="center"/>
    </xf>
    <xf numFmtId="164" fontId="13" fillId="7" borderId="0" xfId="3" applyNumberFormat="1" applyFont="1" applyFill="1" applyBorder="1" applyAlignment="1">
      <alignment horizontal="center" vertical="center"/>
    </xf>
    <xf numFmtId="0" fontId="0" fillId="7" borderId="0" xfId="0" applyFill="1" applyBorder="1"/>
    <xf numFmtId="0" fontId="0" fillId="7" borderId="0" xfId="0" applyFill="1"/>
    <xf numFmtId="0" fontId="17" fillId="7" borderId="0" xfId="0" applyFont="1" applyFill="1" applyBorder="1" applyAlignment="1">
      <alignment vertical="center"/>
    </xf>
    <xf numFmtId="0" fontId="0" fillId="7" borderId="0" xfId="0" applyFill="1" applyBorder="1" applyAlignment="1">
      <alignment horizontal="center" vertical="center"/>
    </xf>
    <xf numFmtId="0" fontId="19" fillId="7" borderId="3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 vertical="top"/>
    </xf>
    <xf numFmtId="0" fontId="3" fillId="7" borderId="0" xfId="0" applyFont="1" applyFill="1" applyBorder="1" applyAlignment="1">
      <alignment horizontal="center" wrapText="1"/>
    </xf>
    <xf numFmtId="0" fontId="3" fillId="7" borderId="0" xfId="0" applyFont="1" applyFill="1" applyBorder="1" applyAlignment="1">
      <alignment horizontal="center"/>
    </xf>
    <xf numFmtId="0" fontId="0" fillId="7" borderId="13" xfId="0" applyFill="1" applyBorder="1" applyAlignment="1">
      <alignment horizontal="center" vertical="center"/>
    </xf>
    <xf numFmtId="0" fontId="33" fillId="7" borderId="14" xfId="0" applyFont="1" applyFill="1" applyBorder="1" applyAlignment="1">
      <alignment horizontal="center"/>
    </xf>
    <xf numFmtId="0" fontId="0" fillId="7" borderId="15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33" fillId="7" borderId="14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1" fillId="7" borderId="0" xfId="0" applyFont="1" applyFill="1"/>
    <xf numFmtId="0" fontId="11" fillId="7" borderId="3" xfId="0" applyFont="1" applyFill="1" applyBorder="1" applyAlignment="1">
      <alignment horizontal="center" vertical="center"/>
    </xf>
    <xf numFmtId="2" fontId="11" fillId="7" borderId="3" xfId="0" applyNumberFormat="1" applyFont="1" applyFill="1" applyBorder="1" applyAlignment="1">
      <alignment horizontal="center" vertical="center"/>
    </xf>
    <xf numFmtId="2" fontId="13" fillId="7" borderId="3" xfId="0" applyNumberFormat="1" applyFont="1" applyFill="1" applyBorder="1" applyAlignment="1">
      <alignment horizontal="center" vertical="center"/>
    </xf>
    <xf numFmtId="164" fontId="11" fillId="7" borderId="3" xfId="0" applyNumberFormat="1" applyFont="1" applyFill="1" applyBorder="1" applyAlignment="1">
      <alignment horizontal="center" vertical="center"/>
    </xf>
    <xf numFmtId="0" fontId="21" fillId="7" borderId="3" xfId="0" applyFont="1" applyFill="1" applyBorder="1" applyAlignment="1">
      <alignment horizontal="center"/>
    </xf>
    <xf numFmtId="44" fontId="21" fillId="7" borderId="5" xfId="1" applyFont="1" applyFill="1" applyBorder="1" applyAlignment="1">
      <alignment horizontal="center"/>
    </xf>
    <xf numFmtId="0" fontId="23" fillId="7" borderId="0" xfId="0" applyFont="1" applyFill="1" applyAlignment="1" applyProtection="1">
      <alignment horizontal="left"/>
      <protection locked="0"/>
    </xf>
    <xf numFmtId="0" fontId="25" fillId="7" borderId="0" xfId="0" applyFont="1" applyFill="1"/>
    <xf numFmtId="0" fontId="24" fillId="7" borderId="0" xfId="0" applyFont="1" applyFill="1" applyAlignment="1" applyProtection="1">
      <alignment horizontal="left"/>
      <protection locked="0"/>
    </xf>
    <xf numFmtId="0" fontId="25" fillId="7" borderId="0" xfId="0" applyFont="1" applyFill="1" applyAlignment="1">
      <alignment horizontal="center"/>
    </xf>
    <xf numFmtId="0" fontId="25" fillId="7" borderId="0" xfId="0" applyFont="1" applyFill="1" applyAlignment="1" applyProtection="1">
      <alignment horizontal="center"/>
      <protection locked="0"/>
    </xf>
    <xf numFmtId="0" fontId="26" fillId="7" borderId="0" xfId="0" applyFont="1" applyFill="1"/>
    <xf numFmtId="0" fontId="26" fillId="7" borderId="0" xfId="0" applyFont="1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 wrapText="1"/>
    </xf>
    <xf numFmtId="0" fontId="0" fillId="7" borderId="19" xfId="0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 wrapText="1"/>
    </xf>
    <xf numFmtId="0" fontId="0" fillId="7" borderId="16" xfId="0" applyFill="1" applyBorder="1" applyAlignment="1">
      <alignment horizontal="center" vertical="center" wrapText="1"/>
    </xf>
    <xf numFmtId="0" fontId="0" fillId="7" borderId="0" xfId="0" applyFill="1" applyBorder="1" applyAlignment="1"/>
    <xf numFmtId="0" fontId="0" fillId="7" borderId="0" xfId="0" applyFill="1" applyBorder="1" applyAlignment="1">
      <alignment vertical="center" wrapText="1"/>
    </xf>
    <xf numFmtId="0" fontId="0" fillId="7" borderId="0" xfId="0" applyFill="1" applyBorder="1" applyAlignment="1">
      <alignment vertical="center"/>
    </xf>
    <xf numFmtId="0" fontId="22" fillId="7" borderId="23" xfId="0" applyFont="1" applyFill="1" applyBorder="1" applyAlignment="1">
      <alignment horizontal="center"/>
    </xf>
    <xf numFmtId="0" fontId="22" fillId="7" borderId="24" xfId="0" applyFont="1" applyFill="1" applyBorder="1" applyAlignment="1">
      <alignment horizontal="center"/>
    </xf>
    <xf numFmtId="0" fontId="22" fillId="7" borderId="25" xfId="0" applyFont="1" applyFill="1" applyBorder="1" applyAlignment="1">
      <alignment horizontal="center"/>
    </xf>
    <xf numFmtId="44" fontId="22" fillId="7" borderId="26" xfId="1" applyFont="1" applyFill="1" applyBorder="1" applyAlignment="1">
      <alignment horizontal="center"/>
    </xf>
    <xf numFmtId="44" fontId="22" fillId="7" borderId="27" xfId="1" applyFont="1" applyFill="1" applyBorder="1" applyAlignment="1">
      <alignment horizontal="center"/>
    </xf>
    <xf numFmtId="44" fontId="22" fillId="7" borderId="28" xfId="1" applyFont="1" applyFill="1" applyBorder="1" applyAlignment="1">
      <alignment horizontal="center"/>
    </xf>
    <xf numFmtId="0" fontId="0" fillId="7" borderId="0" xfId="0" applyFont="1" applyFill="1"/>
    <xf numFmtId="0" fontId="0" fillId="7" borderId="0" xfId="0" applyFont="1" applyFill="1" applyBorder="1"/>
    <xf numFmtId="0" fontId="34" fillId="7" borderId="0" xfId="0" applyFont="1" applyFill="1" applyBorder="1" applyAlignment="1">
      <alignment vertical="center"/>
    </xf>
    <xf numFmtId="0" fontId="0" fillId="7" borderId="0" xfId="0" applyFont="1" applyFill="1" applyBorder="1" applyAlignment="1">
      <alignment horizontal="center" vertical="center"/>
    </xf>
    <xf numFmtId="0" fontId="35" fillId="7" borderId="3" xfId="0" applyFont="1" applyFill="1" applyBorder="1" applyAlignment="1">
      <alignment horizontal="center"/>
    </xf>
    <xf numFmtId="0" fontId="36" fillId="7" borderId="12" xfId="0" applyFont="1" applyFill="1" applyBorder="1" applyAlignment="1">
      <alignment horizontal="center" vertical="center"/>
    </xf>
    <xf numFmtId="0" fontId="36" fillId="7" borderId="3" xfId="0" applyFont="1" applyFill="1" applyBorder="1" applyAlignment="1">
      <alignment horizontal="center" vertical="center"/>
    </xf>
    <xf numFmtId="0" fontId="35" fillId="7" borderId="0" xfId="0" applyFont="1" applyFill="1" applyBorder="1" applyAlignment="1">
      <alignment horizontal="center" vertical="top"/>
    </xf>
    <xf numFmtId="0" fontId="35" fillId="7" borderId="0" xfId="0" applyFont="1" applyFill="1" applyBorder="1" applyAlignment="1">
      <alignment horizontal="center" wrapText="1"/>
    </xf>
    <xf numFmtId="0" fontId="35" fillId="7" borderId="0" xfId="0" applyFont="1" applyFill="1" applyBorder="1" applyAlignment="1">
      <alignment horizontal="center"/>
    </xf>
    <xf numFmtId="0" fontId="33" fillId="7" borderId="29" xfId="0" applyFont="1" applyFill="1" applyBorder="1" applyAlignment="1">
      <alignment horizontal="center"/>
    </xf>
    <xf numFmtId="0" fontId="0" fillId="7" borderId="13" xfId="0" applyFont="1" applyFill="1" applyBorder="1" applyAlignment="1">
      <alignment horizontal="center" vertical="center"/>
    </xf>
    <xf numFmtId="0" fontId="0" fillId="7" borderId="30" xfId="0" applyFont="1" applyFill="1" applyBorder="1" applyAlignment="1">
      <alignment horizontal="center" vertical="center"/>
    </xf>
    <xf numFmtId="0" fontId="0" fillId="7" borderId="31" xfId="0" applyFont="1" applyFill="1" applyBorder="1" applyAlignment="1">
      <alignment horizontal="center" vertical="center"/>
    </xf>
    <xf numFmtId="0" fontId="0" fillId="7" borderId="32" xfId="0" applyFont="1" applyFill="1" applyBorder="1" applyAlignment="1">
      <alignment horizontal="center" vertical="center"/>
    </xf>
    <xf numFmtId="0" fontId="0" fillId="7" borderId="33" xfId="0" applyFont="1" applyFill="1" applyBorder="1" applyAlignment="1">
      <alignment horizontal="center" vertical="center"/>
    </xf>
    <xf numFmtId="0" fontId="0" fillId="7" borderId="34" xfId="0" applyFont="1" applyFill="1" applyBorder="1" applyAlignment="1">
      <alignment horizontal="center" vertical="center"/>
    </xf>
    <xf numFmtId="0" fontId="0" fillId="7" borderId="35" xfId="0" applyFont="1" applyFill="1" applyBorder="1"/>
    <xf numFmtId="0" fontId="0" fillId="7" borderId="35" xfId="0" applyFont="1" applyFill="1" applyBorder="1" applyAlignment="1">
      <alignment horizontal="center" vertical="center"/>
    </xf>
    <xf numFmtId="0" fontId="0" fillId="7" borderId="29" xfId="0" applyFont="1" applyFill="1" applyBorder="1" applyAlignment="1">
      <alignment horizontal="center" vertical="center"/>
    </xf>
    <xf numFmtId="0" fontId="0" fillId="7" borderId="14" xfId="0" applyFont="1" applyFill="1" applyBorder="1" applyAlignment="1">
      <alignment horizontal="center"/>
    </xf>
    <xf numFmtId="0" fontId="33" fillId="7" borderId="15" xfId="0" applyFont="1" applyFill="1" applyBorder="1" applyAlignment="1">
      <alignment horizontal="center"/>
    </xf>
    <xf numFmtId="0" fontId="0" fillId="7" borderId="16" xfId="0" applyFont="1" applyFill="1" applyBorder="1" applyAlignment="1">
      <alignment horizontal="center" vertical="center"/>
    </xf>
    <xf numFmtId="0" fontId="0" fillId="7" borderId="14" xfId="0" applyFont="1" applyFill="1" applyBorder="1" applyAlignment="1">
      <alignment horizontal="center" vertical="center"/>
    </xf>
    <xf numFmtId="0" fontId="0" fillId="7" borderId="15" xfId="0" applyFont="1" applyFill="1" applyBorder="1" applyAlignment="1">
      <alignment horizontal="center" vertical="center"/>
    </xf>
    <xf numFmtId="0" fontId="0" fillId="7" borderId="0" xfId="0" applyFont="1" applyFill="1" applyBorder="1" applyAlignment="1">
      <alignment horizontal="center"/>
    </xf>
    <xf numFmtId="0" fontId="0" fillId="7" borderId="17" xfId="0" applyFont="1" applyFill="1" applyBorder="1" applyAlignment="1">
      <alignment horizontal="center" vertical="center"/>
    </xf>
    <xf numFmtId="0" fontId="0" fillId="7" borderId="36" xfId="0" applyFont="1" applyFill="1" applyBorder="1" applyAlignment="1">
      <alignment horizontal="center" vertical="center"/>
    </xf>
    <xf numFmtId="0" fontId="33" fillId="7" borderId="18" xfId="0" applyFont="1" applyFill="1" applyBorder="1" applyAlignment="1">
      <alignment horizontal="center"/>
    </xf>
    <xf numFmtId="0" fontId="0" fillId="7" borderId="7" xfId="0" applyFont="1" applyFill="1" applyBorder="1" applyAlignment="1">
      <alignment horizontal="center" vertical="center"/>
    </xf>
    <xf numFmtId="0" fontId="0" fillId="7" borderId="37" xfId="0" applyFont="1" applyFill="1" applyBorder="1" applyAlignment="1">
      <alignment horizontal="center" vertical="center"/>
    </xf>
    <xf numFmtId="0" fontId="0" fillId="7" borderId="18" xfId="0" applyFont="1" applyFill="1" applyBorder="1" applyAlignment="1">
      <alignment horizontal="center" vertical="center"/>
    </xf>
    <xf numFmtId="0" fontId="0" fillId="7" borderId="0" xfId="0" applyFont="1" applyFill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0" fontId="0" fillId="7" borderId="3" xfId="0" applyFont="1" applyFill="1" applyBorder="1" applyAlignment="1">
      <alignment horizontal="center" vertical="center"/>
    </xf>
    <xf numFmtId="0" fontId="0" fillId="7" borderId="3" xfId="0" applyFont="1" applyFill="1" applyBorder="1" applyAlignment="1">
      <alignment horizontal="center"/>
    </xf>
    <xf numFmtId="43" fontId="31" fillId="7" borderId="3" xfId="2" applyFont="1" applyFill="1" applyBorder="1" applyAlignment="1">
      <alignment horizontal="center" vertical="center"/>
    </xf>
    <xf numFmtId="0" fontId="37" fillId="7" borderId="23" xfId="0" applyFont="1" applyFill="1" applyBorder="1" applyAlignment="1">
      <alignment horizontal="center"/>
    </xf>
    <xf numFmtId="0" fontId="37" fillId="7" borderId="26" xfId="0" applyFont="1" applyFill="1" applyBorder="1" applyAlignment="1">
      <alignment horizontal="center"/>
    </xf>
    <xf numFmtId="0" fontId="37" fillId="7" borderId="24" xfId="0" applyFont="1" applyFill="1" applyBorder="1" applyAlignment="1">
      <alignment horizontal="center"/>
    </xf>
    <xf numFmtId="0" fontId="37" fillId="7" borderId="27" xfId="0" applyFont="1" applyFill="1" applyBorder="1" applyAlignment="1">
      <alignment horizontal="center"/>
    </xf>
    <xf numFmtId="0" fontId="36" fillId="7" borderId="0" xfId="0" applyFont="1" applyFill="1"/>
    <xf numFmtId="0" fontId="37" fillId="7" borderId="25" xfId="0" applyFont="1" applyFill="1" applyBorder="1" applyAlignment="1">
      <alignment horizontal="center"/>
    </xf>
    <xf numFmtId="0" fontId="37" fillId="7" borderId="28" xfId="0" applyFont="1" applyFill="1" applyBorder="1" applyAlignment="1">
      <alignment horizontal="center"/>
    </xf>
    <xf numFmtId="164" fontId="36" fillId="7" borderId="3" xfId="0" applyNumberFormat="1" applyFont="1" applyFill="1" applyBorder="1" applyAlignment="1">
      <alignment horizontal="center" vertical="center"/>
    </xf>
    <xf numFmtId="0" fontId="38" fillId="7" borderId="3" xfId="0" applyFont="1" applyFill="1" applyBorder="1" applyAlignment="1">
      <alignment horizontal="center"/>
    </xf>
    <xf numFmtId="44" fontId="38" fillId="7" borderId="5" xfId="1" applyFont="1" applyFill="1" applyBorder="1" applyAlignment="1">
      <alignment horizontal="center"/>
    </xf>
    <xf numFmtId="0" fontId="39" fillId="7" borderId="3" xfId="0" applyFont="1" applyFill="1" applyBorder="1" applyAlignment="1">
      <alignment horizontal="center" vertical="center"/>
    </xf>
    <xf numFmtId="0" fontId="40" fillId="7" borderId="3" xfId="0" applyFont="1" applyFill="1" applyBorder="1" applyAlignment="1">
      <alignment horizontal="center" vertical="center"/>
    </xf>
    <xf numFmtId="0" fontId="41" fillId="7" borderId="0" xfId="0" applyFont="1" applyFill="1"/>
    <xf numFmtId="0" fontId="42" fillId="7" borderId="22" xfId="0" applyFont="1" applyFill="1" applyBorder="1" applyAlignment="1">
      <alignment horizontal="center" vertical="center"/>
    </xf>
    <xf numFmtId="0" fontId="41" fillId="7" borderId="13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horizontal="center" vertical="center"/>
    </xf>
    <xf numFmtId="0" fontId="41" fillId="7" borderId="32" xfId="0" applyFont="1" applyFill="1" applyBorder="1" applyAlignment="1">
      <alignment horizontal="center" vertical="center"/>
    </xf>
    <xf numFmtId="0" fontId="41" fillId="7" borderId="29" xfId="0" applyFont="1" applyFill="1" applyBorder="1" applyAlignment="1">
      <alignment horizontal="center" vertical="center"/>
    </xf>
    <xf numFmtId="0" fontId="42" fillId="7" borderId="15" xfId="0" applyFont="1" applyFill="1" applyBorder="1" applyAlignment="1">
      <alignment horizontal="center"/>
    </xf>
    <xf numFmtId="0" fontId="41" fillId="7" borderId="16" xfId="0" applyFont="1" applyFill="1" applyBorder="1" applyAlignment="1">
      <alignment horizontal="center" vertical="center"/>
    </xf>
    <xf numFmtId="0" fontId="41" fillId="7" borderId="15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horizontal="center"/>
    </xf>
    <xf numFmtId="0" fontId="41" fillId="7" borderId="38" xfId="0" applyFont="1" applyFill="1" applyBorder="1" applyAlignment="1">
      <alignment horizontal="center" vertical="center"/>
    </xf>
    <xf numFmtId="0" fontId="41" fillId="7" borderId="39" xfId="0" applyFont="1" applyFill="1" applyBorder="1" applyAlignment="1">
      <alignment horizontal="center" vertical="center"/>
    </xf>
    <xf numFmtId="0" fontId="42" fillId="7" borderId="16" xfId="0" applyFont="1" applyFill="1" applyBorder="1" applyAlignment="1">
      <alignment horizontal="center"/>
    </xf>
    <xf numFmtId="0" fontId="42" fillId="7" borderId="17" xfId="0" applyFont="1" applyFill="1" applyBorder="1" applyAlignment="1">
      <alignment horizontal="center"/>
    </xf>
    <xf numFmtId="0" fontId="42" fillId="7" borderId="18" xfId="0" applyFont="1" applyFill="1" applyBorder="1" applyAlignment="1">
      <alignment horizontal="center"/>
    </xf>
    <xf numFmtId="0" fontId="42" fillId="7" borderId="0" xfId="0" applyFont="1" applyFill="1" applyBorder="1" applyAlignment="1">
      <alignment horizontal="center"/>
    </xf>
    <xf numFmtId="0" fontId="41" fillId="7" borderId="0" xfId="0" applyFont="1" applyFill="1" applyBorder="1"/>
    <xf numFmtId="0" fontId="43" fillId="7" borderId="40" xfId="0" applyFont="1" applyFill="1" applyBorder="1" applyAlignment="1">
      <alignment horizontal="center" vertical="center"/>
    </xf>
    <xf numFmtId="0" fontId="32" fillId="7" borderId="41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0" fontId="0" fillId="7" borderId="0" xfId="0" applyFont="1" applyFill="1" applyAlignment="1"/>
    <xf numFmtId="0" fontId="28" fillId="7" borderId="12" xfId="0" applyFont="1" applyFill="1" applyBorder="1" applyAlignment="1">
      <alignment horizontal="center" vertical="center"/>
    </xf>
    <xf numFmtId="0" fontId="28" fillId="7" borderId="3" xfId="0" applyFont="1" applyFill="1" applyBorder="1" applyAlignment="1">
      <alignment horizontal="center" vertical="center"/>
    </xf>
    <xf numFmtId="0" fontId="30" fillId="7" borderId="0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 vertical="center" wrapText="1"/>
    </xf>
    <xf numFmtId="0" fontId="0" fillId="7" borderId="24" xfId="0" applyFont="1" applyFill="1" applyBorder="1" applyAlignment="1">
      <alignment horizontal="center" vertical="center"/>
    </xf>
    <xf numFmtId="0" fontId="0" fillId="7" borderId="25" xfId="0" applyFont="1" applyFill="1" applyBorder="1" applyAlignment="1">
      <alignment horizontal="center" vertical="center"/>
    </xf>
    <xf numFmtId="0" fontId="33" fillId="7" borderId="34" xfId="0" applyFont="1" applyFill="1" applyBorder="1" applyAlignment="1">
      <alignment horizontal="center"/>
    </xf>
    <xf numFmtId="0" fontId="33" fillId="7" borderId="27" xfId="0" applyFont="1" applyFill="1" applyBorder="1" applyAlignment="1">
      <alignment horizontal="center"/>
    </xf>
    <xf numFmtId="0" fontId="33" fillId="7" borderId="28" xfId="0" applyFont="1" applyFill="1" applyBorder="1" applyAlignment="1">
      <alignment horizontal="center"/>
    </xf>
    <xf numFmtId="0" fontId="35" fillId="7" borderId="43" xfId="0" applyFont="1" applyFill="1" applyBorder="1" applyAlignment="1">
      <alignment horizontal="center"/>
    </xf>
    <xf numFmtId="0" fontId="35" fillId="7" borderId="44" xfId="0" applyFont="1" applyFill="1" applyBorder="1" applyAlignment="1">
      <alignment horizontal="center"/>
    </xf>
    <xf numFmtId="0" fontId="44" fillId="7" borderId="43" xfId="0" applyFont="1" applyFill="1" applyBorder="1" applyAlignment="1">
      <alignment horizontal="left"/>
    </xf>
    <xf numFmtId="0" fontId="44" fillId="7" borderId="43" xfId="0" applyFont="1" applyFill="1" applyBorder="1" applyAlignment="1">
      <alignment horizontal="center"/>
    </xf>
    <xf numFmtId="0" fontId="44" fillId="7" borderId="43" xfId="0" applyFont="1" applyFill="1" applyBorder="1" applyAlignment="1">
      <alignment horizontal="right"/>
    </xf>
    <xf numFmtId="0" fontId="35" fillId="7" borderId="43" xfId="0" applyFont="1" applyFill="1" applyBorder="1" applyAlignment="1">
      <alignment horizontal="right"/>
    </xf>
    <xf numFmtId="0" fontId="44" fillId="7" borderId="45" xfId="0" applyFont="1" applyFill="1" applyBorder="1" applyAlignment="1">
      <alignment horizontal="right"/>
    </xf>
    <xf numFmtId="0" fontId="43" fillId="7" borderId="46" xfId="0" applyFont="1" applyFill="1" applyBorder="1" applyAlignment="1">
      <alignment horizontal="center"/>
    </xf>
    <xf numFmtId="0" fontId="43" fillId="7" borderId="35" xfId="0" applyFont="1" applyFill="1" applyBorder="1" applyAlignment="1">
      <alignment horizontal="center"/>
    </xf>
    <xf numFmtId="0" fontId="44" fillId="7" borderId="44" xfId="0" applyFont="1" applyFill="1" applyBorder="1" applyAlignment="1">
      <alignment horizontal="left"/>
    </xf>
    <xf numFmtId="0" fontId="44" fillId="7" borderId="44" xfId="0" applyFont="1" applyFill="1" applyBorder="1" applyAlignment="1">
      <alignment horizontal="center"/>
    </xf>
    <xf numFmtId="0" fontId="44" fillId="7" borderId="44" xfId="0" applyFont="1" applyFill="1" applyBorder="1" applyAlignment="1">
      <alignment horizontal="right"/>
    </xf>
    <xf numFmtId="0" fontId="35" fillId="7" borderId="44" xfId="0" applyFont="1" applyFill="1" applyBorder="1" applyAlignment="1">
      <alignment horizontal="right"/>
    </xf>
    <xf numFmtId="0" fontId="44" fillId="7" borderId="47" xfId="0" applyFont="1" applyFill="1" applyBorder="1" applyAlignment="1">
      <alignment horizontal="right"/>
    </xf>
    <xf numFmtId="0" fontId="0" fillId="7" borderId="42" xfId="0" applyFont="1" applyFill="1" applyBorder="1" applyAlignment="1">
      <alignment horizontal="center"/>
    </xf>
    <xf numFmtId="0" fontId="43" fillId="7" borderId="16" xfId="0" applyFont="1" applyFill="1" applyBorder="1" applyAlignment="1">
      <alignment horizontal="center" vertical="center"/>
    </xf>
    <xf numFmtId="0" fontId="43" fillId="7" borderId="14" xfId="0" applyFont="1" applyFill="1" applyBorder="1" applyAlignment="1">
      <alignment horizontal="center" vertical="center"/>
    </xf>
    <xf numFmtId="0" fontId="0" fillId="7" borderId="24" xfId="0" applyFont="1" applyFill="1" applyBorder="1" applyAlignment="1">
      <alignment horizontal="center"/>
    </xf>
    <xf numFmtId="0" fontId="43" fillId="7" borderId="32" xfId="0" applyFont="1" applyFill="1" applyBorder="1" applyAlignment="1">
      <alignment horizontal="center"/>
    </xf>
    <xf numFmtId="0" fontId="45" fillId="7" borderId="0" xfId="0" applyFont="1" applyFill="1"/>
    <xf numFmtId="164" fontId="39" fillId="7" borderId="3" xfId="3" applyNumberFormat="1" applyFont="1" applyFill="1" applyBorder="1" applyAlignment="1">
      <alignment horizontal="center" vertical="center"/>
    </xf>
    <xf numFmtId="164" fontId="39" fillId="7" borderId="3" xfId="0" applyNumberFormat="1" applyFont="1" applyFill="1" applyBorder="1" applyAlignment="1">
      <alignment horizontal="center" vertical="center"/>
    </xf>
    <xf numFmtId="0" fontId="0" fillId="7" borderId="48" xfId="0" applyFont="1" applyFill="1" applyBorder="1" applyAlignment="1">
      <alignment horizontal="center" vertical="center"/>
    </xf>
    <xf numFmtId="2" fontId="33" fillId="7" borderId="14" xfId="0" applyNumberFormat="1" applyFont="1" applyFill="1" applyBorder="1" applyAlignment="1">
      <alignment horizontal="center"/>
    </xf>
    <xf numFmtId="0" fontId="0" fillId="7" borderId="27" xfId="0" applyFont="1" applyFill="1" applyBorder="1" applyAlignment="1">
      <alignment horizontal="center" vertical="center"/>
    </xf>
    <xf numFmtId="0" fontId="33" fillId="7" borderId="50" xfId="0" applyFont="1" applyFill="1" applyBorder="1" applyAlignment="1">
      <alignment horizontal="center"/>
    </xf>
    <xf numFmtId="0" fontId="0" fillId="7" borderId="50" xfId="0" applyFont="1" applyFill="1" applyBorder="1" applyAlignment="1">
      <alignment horizontal="center" vertical="center"/>
    </xf>
    <xf numFmtId="0" fontId="33" fillId="7" borderId="12" xfId="0" applyFont="1" applyFill="1" applyBorder="1" applyAlignment="1">
      <alignment horizontal="center"/>
    </xf>
    <xf numFmtId="0" fontId="0" fillId="7" borderId="51" xfId="0" applyFont="1" applyFill="1" applyBorder="1" applyAlignment="1">
      <alignment horizontal="center" vertical="center"/>
    </xf>
    <xf numFmtId="0" fontId="0" fillId="7" borderId="2" xfId="0" applyFont="1" applyFill="1" applyBorder="1" applyAlignment="1">
      <alignment horizontal="center" vertical="center" wrapText="1"/>
    </xf>
    <xf numFmtId="0" fontId="0" fillId="7" borderId="53" xfId="0" applyFont="1" applyFill="1" applyBorder="1" applyAlignment="1">
      <alignment horizontal="center" vertical="center"/>
    </xf>
    <xf numFmtId="0" fontId="33" fillId="7" borderId="22" xfId="0" applyFont="1" applyFill="1" applyBorder="1" applyAlignment="1">
      <alignment horizontal="center"/>
    </xf>
    <xf numFmtId="0" fontId="43" fillId="7" borderId="14" xfId="0" applyFont="1" applyFill="1" applyBorder="1" applyAlignment="1">
      <alignment horizontal="center"/>
    </xf>
    <xf numFmtId="0" fontId="33" fillId="7" borderId="36" xfId="0" applyFont="1" applyFill="1" applyBorder="1" applyAlignment="1">
      <alignment horizontal="center"/>
    </xf>
    <xf numFmtId="0" fontId="52" fillId="7" borderId="14" xfId="0" applyFont="1" applyFill="1" applyBorder="1" applyAlignment="1">
      <alignment horizontal="center"/>
    </xf>
    <xf numFmtId="2" fontId="52" fillId="7" borderId="14" xfId="0" applyNumberFormat="1" applyFont="1" applyFill="1" applyBorder="1" applyAlignment="1">
      <alignment horizontal="center"/>
    </xf>
    <xf numFmtId="166" fontId="0" fillId="7" borderId="3" xfId="0" applyNumberFormat="1" applyFont="1" applyFill="1" applyBorder="1" applyAlignment="1">
      <alignment horizontal="center"/>
    </xf>
    <xf numFmtId="0" fontId="43" fillId="7" borderId="14" xfId="0" applyFont="1" applyFill="1" applyBorder="1" applyAlignment="1">
      <alignment horizontal="left"/>
    </xf>
    <xf numFmtId="0" fontId="52" fillId="7" borderId="14" xfId="0" applyFont="1" applyFill="1" applyBorder="1" applyAlignment="1">
      <alignment horizontal="left"/>
    </xf>
    <xf numFmtId="0" fontId="33" fillId="7" borderId="14" xfId="0" applyFont="1" applyFill="1" applyBorder="1" applyAlignment="1">
      <alignment horizontal="left"/>
    </xf>
    <xf numFmtId="0" fontId="33" fillId="7" borderId="36" xfId="0" applyFont="1" applyFill="1" applyBorder="1" applyAlignment="1">
      <alignment horizontal="left"/>
    </xf>
    <xf numFmtId="2" fontId="33" fillId="7" borderId="36" xfId="0" applyNumberFormat="1" applyFont="1" applyFill="1" applyBorder="1" applyAlignment="1">
      <alignment horizontal="center"/>
    </xf>
    <xf numFmtId="0" fontId="54" fillId="7" borderId="14" xfId="0" applyFont="1" applyFill="1" applyBorder="1" applyAlignment="1">
      <alignment horizontal="left"/>
    </xf>
    <xf numFmtId="0" fontId="54" fillId="7" borderId="14" xfId="0" applyFont="1" applyFill="1" applyBorder="1" applyAlignment="1">
      <alignment horizontal="center"/>
    </xf>
    <xf numFmtId="2" fontId="54" fillId="7" borderId="14" xfId="0" applyNumberFormat="1" applyFont="1" applyFill="1" applyBorder="1" applyAlignment="1">
      <alignment horizontal="center"/>
    </xf>
    <xf numFmtId="2" fontId="43" fillId="7" borderId="14" xfId="0" applyNumberFormat="1" applyFont="1" applyFill="1" applyBorder="1" applyAlignment="1">
      <alignment horizontal="center"/>
    </xf>
    <xf numFmtId="166" fontId="0" fillId="7" borderId="0" xfId="0" applyNumberFormat="1" applyFont="1" applyFill="1" applyBorder="1" applyAlignment="1">
      <alignment horizontal="center"/>
    </xf>
    <xf numFmtId="49" fontId="35" fillId="7" borderId="16" xfId="0" applyNumberFormat="1" applyFont="1" applyFill="1" applyBorder="1" applyAlignment="1">
      <alignment horizontal="center"/>
    </xf>
    <xf numFmtId="49" fontId="51" fillId="7" borderId="16" xfId="0" applyNumberFormat="1" applyFont="1" applyFill="1" applyBorder="1" applyAlignment="1">
      <alignment horizontal="center"/>
    </xf>
    <xf numFmtId="49" fontId="44" fillId="7" borderId="16" xfId="0" applyNumberFormat="1" applyFont="1" applyFill="1" applyBorder="1" applyAlignment="1">
      <alignment horizontal="center"/>
    </xf>
    <xf numFmtId="49" fontId="53" fillId="7" borderId="16" xfId="0" applyNumberFormat="1" applyFont="1" applyFill="1" applyBorder="1" applyAlignment="1">
      <alignment horizontal="center"/>
    </xf>
    <xf numFmtId="49" fontId="35" fillId="7" borderId="17" xfId="0" applyNumberFormat="1" applyFont="1" applyFill="1" applyBorder="1" applyAlignment="1">
      <alignment horizontal="center"/>
    </xf>
    <xf numFmtId="0" fontId="19" fillId="7" borderId="0" xfId="0" applyFont="1" applyFill="1" applyBorder="1" applyAlignment="1">
      <alignment horizontal="center" vertical="center"/>
    </xf>
    <xf numFmtId="0" fontId="28" fillId="7" borderId="0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 wrapText="1"/>
    </xf>
    <xf numFmtId="0" fontId="3" fillId="7" borderId="0" xfId="0" applyFont="1" applyFill="1" applyBorder="1" applyAlignment="1">
      <alignment horizontal="center" vertical="center"/>
    </xf>
    <xf numFmtId="0" fontId="33" fillId="7" borderId="0" xfId="0" applyFont="1" applyFill="1" applyBorder="1" applyAlignment="1">
      <alignment horizontal="center"/>
    </xf>
    <xf numFmtId="2" fontId="52" fillId="7" borderId="36" xfId="0" applyNumberFormat="1" applyFont="1" applyFill="1" applyBorder="1" applyAlignment="1">
      <alignment horizontal="center"/>
    </xf>
    <xf numFmtId="167" fontId="31" fillId="7" borderId="3" xfId="2" applyNumberFormat="1" applyFont="1" applyFill="1" applyBorder="1" applyAlignment="1">
      <alignment horizontal="center" vertical="center"/>
    </xf>
    <xf numFmtId="0" fontId="0" fillId="7" borderId="2" xfId="0" applyFont="1" applyFill="1" applyBorder="1" applyAlignment="1">
      <alignment horizontal="center" vertical="center"/>
    </xf>
    <xf numFmtId="0" fontId="0" fillId="7" borderId="52" xfId="0" applyFont="1" applyFill="1" applyBorder="1" applyAlignment="1">
      <alignment horizontal="center" vertical="center"/>
    </xf>
    <xf numFmtId="0" fontId="55" fillId="0" borderId="40" xfId="0" applyFont="1" applyBorder="1" applyAlignment="1">
      <alignment horizontal="center" wrapText="1"/>
    </xf>
    <xf numFmtId="0" fontId="55" fillId="0" borderId="41" xfId="0" applyFont="1" applyBorder="1" applyAlignment="1">
      <alignment horizontal="center" wrapText="1"/>
    </xf>
    <xf numFmtId="0" fontId="55" fillId="0" borderId="5" xfId="0" applyFont="1" applyBorder="1" applyAlignment="1">
      <alignment horizontal="center" wrapText="1"/>
    </xf>
    <xf numFmtId="0" fontId="55" fillId="0" borderId="3" xfId="0" applyFont="1" applyBorder="1" applyAlignment="1">
      <alignment horizontal="center" wrapText="1"/>
    </xf>
    <xf numFmtId="0" fontId="56" fillId="0" borderId="40" xfId="0" applyFont="1" applyBorder="1" applyAlignment="1">
      <alignment horizontal="center" wrapText="1"/>
    </xf>
    <xf numFmtId="0" fontId="56" fillId="0" borderId="60" xfId="0" applyFont="1" applyBorder="1" applyAlignment="1">
      <alignment horizontal="center" wrapText="1"/>
    </xf>
    <xf numFmtId="0" fontId="55" fillId="0" borderId="64" xfId="0" applyFont="1" applyBorder="1" applyAlignment="1">
      <alignment horizontal="center" wrapText="1"/>
    </xf>
    <xf numFmtId="0" fontId="55" fillId="8" borderId="41" xfId="0" applyFont="1" applyFill="1" applyBorder="1" applyAlignment="1">
      <alignment horizontal="center" wrapText="1"/>
    </xf>
    <xf numFmtId="0" fontId="55" fillId="0" borderId="4" xfId="0" applyFont="1" applyBorder="1" applyAlignment="1">
      <alignment horizontal="center" wrapText="1"/>
    </xf>
    <xf numFmtId="0" fontId="58" fillId="0" borderId="3" xfId="0" applyFont="1" applyBorder="1"/>
    <xf numFmtId="43" fontId="58" fillId="0" borderId="3" xfId="2" applyFont="1" applyBorder="1"/>
    <xf numFmtId="44" fontId="58" fillId="0" borderId="3" xfId="3" applyFont="1" applyBorder="1"/>
    <xf numFmtId="0" fontId="59" fillId="0" borderId="0" xfId="0" applyFont="1"/>
    <xf numFmtId="0" fontId="0" fillId="0" borderId="0" xfId="0" applyAlignment="1">
      <alignment horizontal="center"/>
    </xf>
    <xf numFmtId="0" fontId="59" fillId="0" borderId="0" xfId="0" applyFont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5" xfId="0" applyFont="1" applyFill="1" applyBorder="1" applyAlignment="1">
      <alignment horizontal="center"/>
    </xf>
    <xf numFmtId="0" fontId="28" fillId="7" borderId="2" xfId="0" applyFont="1" applyFill="1" applyBorder="1" applyAlignment="1">
      <alignment horizontal="center" vertical="center"/>
    </xf>
    <xf numFmtId="0" fontId="29" fillId="7" borderId="9" xfId="0" applyFont="1" applyFill="1" applyBorder="1" applyAlignment="1">
      <alignment horizontal="center" vertical="center"/>
    </xf>
    <xf numFmtId="0" fontId="28" fillId="7" borderId="1" xfId="0" applyFont="1" applyFill="1" applyBorder="1" applyAlignment="1">
      <alignment horizontal="center"/>
    </xf>
    <xf numFmtId="0" fontId="28" fillId="7" borderId="4" xfId="0" applyFont="1" applyFill="1" applyBorder="1" applyAlignment="1">
      <alignment horizontal="center"/>
    </xf>
    <xf numFmtId="0" fontId="28" fillId="7" borderId="5" xfId="0" applyFont="1" applyFill="1" applyBorder="1" applyAlignment="1">
      <alignment horizontal="center"/>
    </xf>
    <xf numFmtId="0" fontId="3" fillId="7" borderId="50" xfId="0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3" fillId="7" borderId="61" xfId="0" applyFont="1" applyFill="1" applyBorder="1"/>
    <xf numFmtId="0" fontId="3" fillId="7" borderId="19" xfId="0" applyFont="1" applyFill="1" applyBorder="1"/>
    <xf numFmtId="0" fontId="3" fillId="7" borderId="2" xfId="0" applyFont="1" applyFill="1" applyBorder="1"/>
    <xf numFmtId="0" fontId="3" fillId="7" borderId="8" xfId="0" applyFont="1" applyFill="1" applyBorder="1"/>
    <xf numFmtId="0" fontId="3" fillId="7" borderId="9" xfId="0" applyFont="1" applyFill="1" applyBorder="1"/>
    <xf numFmtId="0" fontId="19" fillId="7" borderId="1" xfId="0" applyFont="1" applyFill="1" applyBorder="1" applyAlignment="1">
      <alignment horizontal="center" vertical="center"/>
    </xf>
    <xf numFmtId="0" fontId="19" fillId="7" borderId="5" xfId="0" applyFont="1" applyFill="1" applyBorder="1" applyAlignment="1">
      <alignment horizontal="center" vertical="center"/>
    </xf>
    <xf numFmtId="0" fontId="19" fillId="7" borderId="4" xfId="0" applyFont="1" applyFill="1" applyBorder="1" applyAlignment="1">
      <alignment horizontal="center" vertical="center"/>
    </xf>
    <xf numFmtId="0" fontId="19" fillId="7" borderId="1" xfId="0" applyFont="1" applyFill="1" applyBorder="1" applyAlignment="1">
      <alignment horizontal="center"/>
    </xf>
    <xf numFmtId="0" fontId="19" fillId="7" borderId="5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26" xfId="0" applyFont="1" applyFill="1" applyBorder="1" applyAlignment="1">
      <alignment horizontal="center" wrapText="1"/>
    </xf>
    <xf numFmtId="0" fontId="3" fillId="7" borderId="28" xfId="0" applyFont="1" applyFill="1" applyBorder="1" applyAlignment="1">
      <alignment horizontal="center"/>
    </xf>
    <xf numFmtId="0" fontId="3" fillId="7" borderId="26" xfId="0" applyFont="1" applyFill="1" applyBorder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0" fontId="3" fillId="7" borderId="56" xfId="0" applyFont="1" applyFill="1" applyBorder="1" applyAlignment="1">
      <alignment horizontal="center" vertical="center" wrapText="1"/>
    </xf>
    <xf numFmtId="0" fontId="3" fillId="7" borderId="57" xfId="0" applyFont="1" applyFill="1" applyBorder="1" applyAlignment="1">
      <alignment horizontal="center" vertical="center"/>
    </xf>
    <xf numFmtId="0" fontId="3" fillId="7" borderId="59" xfId="0" applyFont="1" applyFill="1" applyBorder="1" applyAlignment="1">
      <alignment horizontal="center" vertical="center"/>
    </xf>
    <xf numFmtId="0" fontId="3" fillId="7" borderId="35" xfId="0" applyFont="1" applyFill="1" applyBorder="1" applyAlignment="1">
      <alignment horizontal="center" vertical="center"/>
    </xf>
    <xf numFmtId="0" fontId="3" fillId="7" borderId="50" xfId="0" applyFont="1" applyFill="1" applyBorder="1" applyAlignment="1">
      <alignment horizontal="center" wrapText="1"/>
    </xf>
    <xf numFmtId="0" fontId="3" fillId="7" borderId="14" xfId="0" applyFont="1" applyFill="1" applyBorder="1" applyAlignment="1">
      <alignment horizontal="center"/>
    </xf>
    <xf numFmtId="0" fontId="3" fillId="7" borderId="50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 wrapText="1"/>
    </xf>
    <xf numFmtId="0" fontId="3" fillId="7" borderId="15" xfId="0" applyFont="1" applyFill="1" applyBorder="1" applyAlignment="1">
      <alignment horizontal="center" vertical="center"/>
    </xf>
    <xf numFmtId="0" fontId="3" fillId="7" borderId="26" xfId="0" applyFont="1" applyFill="1" applyBorder="1" applyAlignment="1">
      <alignment horizontal="center" vertical="center" wrapText="1"/>
    </xf>
    <xf numFmtId="0" fontId="3" fillId="7" borderId="28" xfId="0" applyFont="1" applyFill="1" applyBorder="1" applyAlignment="1">
      <alignment horizontal="center" vertical="center" wrapText="1"/>
    </xf>
    <xf numFmtId="0" fontId="22" fillId="7" borderId="16" xfId="0" applyFont="1" applyFill="1" applyBorder="1" applyAlignment="1">
      <alignment horizontal="left" vertical="center" indent="1"/>
    </xf>
    <xf numFmtId="0" fontId="22" fillId="7" borderId="15" xfId="0" applyFont="1" applyFill="1" applyBorder="1" applyAlignment="1">
      <alignment horizontal="left" vertical="center" indent="1"/>
    </xf>
    <xf numFmtId="2" fontId="13" fillId="7" borderId="2" xfId="0" applyNumberFormat="1" applyFont="1" applyFill="1" applyBorder="1" applyAlignment="1">
      <alignment horizontal="center" vertical="center"/>
    </xf>
    <xf numFmtId="2" fontId="13" fillId="7" borderId="9" xfId="0" applyNumberFormat="1" applyFont="1" applyFill="1" applyBorder="1" applyAlignment="1">
      <alignment horizontal="center" vertical="center"/>
    </xf>
    <xf numFmtId="0" fontId="0" fillId="7" borderId="2" xfId="0" applyFont="1" applyFill="1" applyBorder="1" applyAlignment="1">
      <alignment horizontal="center" vertical="center"/>
    </xf>
    <xf numFmtId="0" fontId="0" fillId="7" borderId="9" xfId="0" applyFont="1" applyFill="1" applyBorder="1" applyAlignment="1">
      <alignment horizontal="center" vertical="center"/>
    </xf>
    <xf numFmtId="0" fontId="0" fillId="7" borderId="52" xfId="0" applyFont="1" applyFill="1" applyBorder="1" applyAlignment="1">
      <alignment horizontal="center" vertical="center"/>
    </xf>
    <xf numFmtId="0" fontId="0" fillId="7" borderId="54" xfId="0" applyFont="1" applyFill="1" applyBorder="1" applyAlignment="1">
      <alignment horizontal="center" vertical="center"/>
    </xf>
    <xf numFmtId="0" fontId="0" fillId="7" borderId="55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/>
    </xf>
    <xf numFmtId="0" fontId="0" fillId="7" borderId="5" xfId="0" applyFont="1" applyFill="1" applyBorder="1" applyAlignment="1">
      <alignment horizontal="center"/>
    </xf>
    <xf numFmtId="0" fontId="3" fillId="7" borderId="58" xfId="0" applyFont="1" applyFill="1" applyBorder="1" applyAlignment="1">
      <alignment horizontal="center" wrapText="1"/>
    </xf>
    <xf numFmtId="0" fontId="3" fillId="7" borderId="49" xfId="0" applyFont="1" applyFill="1" applyBorder="1" applyAlignment="1">
      <alignment horizontal="center"/>
    </xf>
    <xf numFmtId="0" fontId="3" fillId="7" borderId="10" xfId="0" applyFont="1" applyFill="1" applyBorder="1" applyAlignment="1">
      <alignment horizontal="center" vertical="center"/>
    </xf>
    <xf numFmtId="0" fontId="0" fillId="7" borderId="12" xfId="0" applyFont="1" applyFill="1" applyBorder="1"/>
    <xf numFmtId="0" fontId="0" fillId="7" borderId="40" xfId="0" applyFont="1" applyFill="1" applyBorder="1" applyAlignment="1">
      <alignment horizontal="center" vertical="center"/>
    </xf>
    <xf numFmtId="0" fontId="0" fillId="7" borderId="60" xfId="0" applyFont="1" applyFill="1" applyBorder="1" applyAlignment="1">
      <alignment horizontal="center" vertical="center"/>
    </xf>
    <xf numFmtId="0" fontId="0" fillId="7" borderId="41" xfId="0" applyFont="1" applyFill="1" applyBorder="1" applyAlignment="1">
      <alignment horizontal="center" vertical="center"/>
    </xf>
    <xf numFmtId="0" fontId="27" fillId="7" borderId="1" xfId="0" applyFont="1" applyFill="1" applyBorder="1" applyAlignment="1">
      <alignment horizontal="center"/>
    </xf>
    <xf numFmtId="0" fontId="27" fillId="7" borderId="4" xfId="0" applyFont="1" applyFill="1" applyBorder="1" applyAlignment="1">
      <alignment horizontal="center"/>
    </xf>
    <xf numFmtId="0" fontId="0" fillId="7" borderId="4" xfId="0" applyFont="1" applyFill="1" applyBorder="1" applyAlignment="1"/>
    <xf numFmtId="0" fontId="0" fillId="7" borderId="5" xfId="0" applyFont="1" applyFill="1" applyBorder="1" applyAlignment="1"/>
    <xf numFmtId="0" fontId="22" fillId="7" borderId="22" xfId="0" applyFont="1" applyFill="1" applyBorder="1" applyAlignment="1">
      <alignment horizontal="left" vertical="center" indent="1"/>
    </xf>
    <xf numFmtId="0" fontId="22" fillId="7" borderId="13" xfId="0" applyFont="1" applyFill="1" applyBorder="1" applyAlignment="1">
      <alignment horizontal="left" vertical="center" indent="1"/>
    </xf>
    <xf numFmtId="0" fontId="11" fillId="7" borderId="1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0" fontId="22" fillId="7" borderId="17" xfId="0" applyFont="1" applyFill="1" applyBorder="1" applyAlignment="1">
      <alignment horizontal="left" vertical="center" indent="1"/>
    </xf>
    <xf numFmtId="0" fontId="22" fillId="7" borderId="18" xfId="0" applyFont="1" applyFill="1" applyBorder="1" applyAlignment="1">
      <alignment horizontal="left" vertical="center" indent="1"/>
    </xf>
    <xf numFmtId="0" fontId="22" fillId="7" borderId="1" xfId="0" applyFont="1" applyFill="1" applyBorder="1" applyAlignment="1">
      <alignment horizontal="center"/>
    </xf>
    <xf numFmtId="0" fontId="22" fillId="7" borderId="5" xfId="0" applyFont="1" applyFill="1" applyBorder="1" applyAlignment="1">
      <alignment horizontal="center"/>
    </xf>
    <xf numFmtId="164" fontId="39" fillId="7" borderId="1" xfId="0" applyNumberFormat="1" applyFont="1" applyFill="1" applyBorder="1" applyAlignment="1">
      <alignment horizontal="center" vertical="center"/>
    </xf>
    <xf numFmtId="164" fontId="39" fillId="7" borderId="5" xfId="0" applyNumberFormat="1" applyFont="1" applyFill="1" applyBorder="1" applyAlignment="1">
      <alignment horizontal="center" vertical="center"/>
    </xf>
    <xf numFmtId="0" fontId="47" fillId="7" borderId="1" xfId="0" applyFont="1" applyFill="1" applyBorder="1" applyAlignment="1">
      <alignment horizontal="center"/>
    </xf>
    <xf numFmtId="0" fontId="47" fillId="7" borderId="5" xfId="0" applyFont="1" applyFill="1" applyBorder="1" applyAlignment="1">
      <alignment horizontal="center"/>
    </xf>
    <xf numFmtId="0" fontId="35" fillId="7" borderId="50" xfId="0" applyFont="1" applyFill="1" applyBorder="1" applyAlignment="1">
      <alignment horizontal="center" vertical="center"/>
    </xf>
    <xf numFmtId="0" fontId="35" fillId="7" borderId="36" xfId="0" applyFont="1" applyFill="1" applyBorder="1" applyAlignment="1">
      <alignment horizontal="center" vertical="center"/>
    </xf>
    <xf numFmtId="0" fontId="35" fillId="7" borderId="56" xfId="0" applyFont="1" applyFill="1" applyBorder="1" applyAlignment="1">
      <alignment horizontal="center" vertical="center" wrapText="1"/>
    </xf>
    <xf numFmtId="0" fontId="35" fillId="7" borderId="57" xfId="0" applyFont="1" applyFill="1" applyBorder="1" applyAlignment="1">
      <alignment horizontal="center" vertical="center"/>
    </xf>
    <xf numFmtId="0" fontId="35" fillId="7" borderId="26" xfId="0" applyFont="1" applyFill="1" applyBorder="1" applyAlignment="1">
      <alignment horizontal="center" wrapText="1"/>
    </xf>
    <xf numFmtId="0" fontId="35" fillId="7" borderId="28" xfId="0" applyFont="1" applyFill="1" applyBorder="1" applyAlignment="1">
      <alignment horizontal="center"/>
    </xf>
    <xf numFmtId="0" fontId="35" fillId="7" borderId="10" xfId="0" applyFont="1" applyFill="1" applyBorder="1" applyAlignment="1">
      <alignment horizontal="center" vertical="center"/>
    </xf>
    <xf numFmtId="0" fontId="35" fillId="7" borderId="12" xfId="0" applyFont="1" applyFill="1" applyBorder="1" applyAlignment="1">
      <alignment horizontal="center" vertical="center"/>
    </xf>
    <xf numFmtId="0" fontId="35" fillId="7" borderId="6" xfId="0" applyFont="1" applyFill="1" applyBorder="1" applyAlignment="1">
      <alignment horizontal="center" vertical="center"/>
    </xf>
    <xf numFmtId="0" fontId="35" fillId="7" borderId="2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46" fillId="7" borderId="6" xfId="0" applyFont="1" applyFill="1" applyBorder="1" applyAlignment="1">
      <alignment horizontal="center" vertical="center"/>
    </xf>
    <xf numFmtId="0" fontId="35" fillId="7" borderId="61" xfId="0" applyFont="1" applyFill="1" applyBorder="1"/>
    <xf numFmtId="0" fontId="35" fillId="7" borderId="19" xfId="0" applyFont="1" applyFill="1" applyBorder="1"/>
    <xf numFmtId="0" fontId="35" fillId="7" borderId="2" xfId="0" applyFont="1" applyFill="1" applyBorder="1"/>
    <xf numFmtId="0" fontId="35" fillId="7" borderId="8" xfId="0" applyFont="1" applyFill="1" applyBorder="1"/>
    <xf numFmtId="0" fontId="35" fillId="7" borderId="9" xfId="0" applyFont="1" applyFill="1" applyBorder="1"/>
    <xf numFmtId="0" fontId="35" fillId="7" borderId="59" xfId="0" applyFont="1" applyFill="1" applyBorder="1" applyAlignment="1">
      <alignment horizontal="center" vertical="center"/>
    </xf>
    <xf numFmtId="0" fontId="35" fillId="7" borderId="54" xfId="0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/>
    </xf>
    <xf numFmtId="0" fontId="36" fillId="7" borderId="4" xfId="0" applyFont="1" applyFill="1" applyBorder="1" applyAlignment="1">
      <alignment horizontal="center"/>
    </xf>
    <xf numFmtId="0" fontId="36" fillId="7" borderId="5" xfId="0" applyFont="1" applyFill="1" applyBorder="1" applyAlignment="1">
      <alignment horizontal="center"/>
    </xf>
    <xf numFmtId="0" fontId="40" fillId="7" borderId="1" xfId="0" applyFont="1" applyFill="1" applyBorder="1" applyAlignment="1">
      <alignment horizontal="center" vertical="center"/>
    </xf>
    <xf numFmtId="0" fontId="40" fillId="7" borderId="5" xfId="0" applyFont="1" applyFill="1" applyBorder="1" applyAlignment="1">
      <alignment horizontal="center" vertical="center"/>
    </xf>
    <xf numFmtId="0" fontId="40" fillId="7" borderId="4" xfId="0" applyFont="1" applyFill="1" applyBorder="1" applyAlignment="1">
      <alignment horizontal="center" vertical="center"/>
    </xf>
    <xf numFmtId="0" fontId="40" fillId="7" borderId="1" xfId="0" applyFont="1" applyFill="1" applyBorder="1" applyAlignment="1">
      <alignment horizontal="center"/>
    </xf>
    <xf numFmtId="0" fontId="40" fillId="7" borderId="5" xfId="0" applyFont="1" applyFill="1" applyBorder="1" applyAlignment="1">
      <alignment horizontal="center"/>
    </xf>
    <xf numFmtId="0" fontId="35" fillId="7" borderId="22" xfId="0" applyFont="1" applyFill="1" applyBorder="1" applyAlignment="1">
      <alignment horizontal="center" vertical="center"/>
    </xf>
    <xf numFmtId="0" fontId="35" fillId="7" borderId="17" xfId="0" applyFont="1" applyFill="1" applyBorder="1" applyAlignment="1">
      <alignment horizontal="center" vertical="center"/>
    </xf>
    <xf numFmtId="0" fontId="48" fillId="7" borderId="2" xfId="0" applyFont="1" applyFill="1" applyBorder="1" applyAlignment="1">
      <alignment horizontal="center" vertical="center"/>
    </xf>
    <xf numFmtId="0" fontId="49" fillId="7" borderId="9" xfId="0" applyFont="1" applyFill="1" applyBorder="1" applyAlignment="1">
      <alignment horizontal="center" vertical="center"/>
    </xf>
    <xf numFmtId="0" fontId="35" fillId="7" borderId="50" xfId="0" applyFont="1" applyFill="1" applyBorder="1" applyAlignment="1">
      <alignment horizontal="center" vertical="center" wrapText="1"/>
    </xf>
    <xf numFmtId="0" fontId="35" fillId="7" borderId="22" xfId="0" applyFont="1" applyFill="1" applyBorder="1" applyAlignment="1">
      <alignment horizontal="center" wrapText="1"/>
    </xf>
    <xf numFmtId="0" fontId="35" fillId="7" borderId="17" xfId="0" applyFont="1" applyFill="1" applyBorder="1" applyAlignment="1">
      <alignment horizontal="center"/>
    </xf>
    <xf numFmtId="0" fontId="35" fillId="7" borderId="62" xfId="0" applyFont="1" applyFill="1" applyBorder="1" applyAlignment="1">
      <alignment horizontal="center" vertical="center"/>
    </xf>
    <xf numFmtId="0" fontId="35" fillId="7" borderId="63" xfId="0" applyFont="1" applyFill="1" applyBorder="1" applyAlignment="1">
      <alignment horizontal="center" vertical="center"/>
    </xf>
    <xf numFmtId="0" fontId="35" fillId="7" borderId="26" xfId="0" applyFont="1" applyFill="1" applyBorder="1" applyAlignment="1">
      <alignment horizontal="center" vertical="center" wrapText="1"/>
    </xf>
    <xf numFmtId="0" fontId="35" fillId="7" borderId="28" xfId="0" applyFont="1" applyFill="1" applyBorder="1" applyAlignment="1">
      <alignment horizontal="center" vertical="center"/>
    </xf>
    <xf numFmtId="0" fontId="35" fillId="7" borderId="28" xfId="0" applyFont="1" applyFill="1" applyBorder="1" applyAlignment="1">
      <alignment horizontal="center" vertical="center" wrapText="1"/>
    </xf>
    <xf numFmtId="0" fontId="35" fillId="7" borderId="23" xfId="0" applyFont="1" applyFill="1" applyBorder="1" applyAlignment="1">
      <alignment horizontal="center" wrapText="1"/>
    </xf>
    <xf numFmtId="0" fontId="35" fillId="7" borderId="25" xfId="0" applyFont="1" applyFill="1" applyBorder="1" applyAlignment="1">
      <alignment horizontal="center"/>
    </xf>
    <xf numFmtId="0" fontId="35" fillId="7" borderId="21" xfId="0" applyFont="1" applyFill="1" applyBorder="1" applyAlignment="1">
      <alignment horizontal="center" vertical="center" wrapText="1"/>
    </xf>
    <xf numFmtId="0" fontId="35" fillId="7" borderId="55" xfId="0" applyFont="1" applyFill="1" applyBorder="1" applyAlignment="1">
      <alignment horizontal="center" vertical="center"/>
    </xf>
    <xf numFmtId="0" fontId="35" fillId="7" borderId="58" xfId="0" applyFont="1" applyFill="1" applyBorder="1" applyAlignment="1">
      <alignment horizontal="center" wrapText="1"/>
    </xf>
    <xf numFmtId="0" fontId="35" fillId="7" borderId="49" xfId="0" applyFont="1" applyFill="1" applyBorder="1" applyAlignment="1">
      <alignment horizontal="center"/>
    </xf>
    <xf numFmtId="0" fontId="0" fillId="7" borderId="2" xfId="0" applyFont="1" applyFill="1" applyBorder="1"/>
    <xf numFmtId="0" fontId="36" fillId="7" borderId="1" xfId="0" applyFont="1" applyFill="1" applyBorder="1" applyAlignment="1">
      <alignment horizontal="center" vertical="center"/>
    </xf>
    <xf numFmtId="0" fontId="36" fillId="7" borderId="5" xfId="0" applyFont="1" applyFill="1" applyBorder="1" applyAlignment="1">
      <alignment horizontal="center" vertical="center"/>
    </xf>
    <xf numFmtId="0" fontId="50" fillId="7" borderId="1" xfId="0" applyFont="1" applyFill="1" applyBorder="1" applyAlignment="1">
      <alignment horizontal="center"/>
    </xf>
    <xf numFmtId="0" fontId="50" fillId="7" borderId="4" xfId="0" applyFont="1" applyFill="1" applyBorder="1" applyAlignment="1">
      <alignment horizontal="center"/>
    </xf>
    <xf numFmtId="0" fontId="41" fillId="7" borderId="4" xfId="0" applyFont="1" applyFill="1" applyBorder="1" applyAlignment="1"/>
    <xf numFmtId="0" fontId="41" fillId="7" borderId="5" xfId="0" applyFont="1" applyFill="1" applyBorder="1" applyAlignment="1"/>
    <xf numFmtId="0" fontId="37" fillId="7" borderId="16" xfId="0" applyFont="1" applyFill="1" applyBorder="1" applyAlignment="1">
      <alignment horizontal="left" vertical="center" indent="1"/>
    </xf>
    <xf numFmtId="0" fontId="37" fillId="7" borderId="15" xfId="0" applyFont="1" applyFill="1" applyBorder="1" applyAlignment="1">
      <alignment horizontal="left" vertical="center" indent="1"/>
    </xf>
    <xf numFmtId="0" fontId="37" fillId="7" borderId="17" xfId="0" applyFont="1" applyFill="1" applyBorder="1" applyAlignment="1">
      <alignment horizontal="left" vertical="center" indent="1"/>
    </xf>
    <xf numFmtId="0" fontId="37" fillId="7" borderId="18" xfId="0" applyFont="1" applyFill="1" applyBorder="1" applyAlignment="1">
      <alignment horizontal="left" vertical="center" indent="1"/>
    </xf>
    <xf numFmtId="0" fontId="37" fillId="7" borderId="1" xfId="0" applyFont="1" applyFill="1" applyBorder="1" applyAlignment="1">
      <alignment horizontal="center"/>
    </xf>
    <xf numFmtId="0" fontId="37" fillId="7" borderId="5" xfId="0" applyFont="1" applyFill="1" applyBorder="1" applyAlignment="1">
      <alignment horizontal="center"/>
    </xf>
    <xf numFmtId="0" fontId="37" fillId="7" borderId="22" xfId="0" applyFont="1" applyFill="1" applyBorder="1" applyAlignment="1">
      <alignment horizontal="left" vertical="center" indent="1"/>
    </xf>
    <xf numFmtId="0" fontId="37" fillId="7" borderId="13" xfId="0" applyFont="1" applyFill="1" applyBorder="1" applyAlignment="1">
      <alignment horizontal="left" vertical="center" indent="1"/>
    </xf>
    <xf numFmtId="2" fontId="39" fillId="7" borderId="1" xfId="0" applyNumberFormat="1" applyFont="1" applyFill="1" applyBorder="1" applyAlignment="1">
      <alignment horizontal="center" vertical="center"/>
    </xf>
    <xf numFmtId="2" fontId="39" fillId="7" borderId="5" xfId="0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 wrapText="1"/>
    </xf>
    <xf numFmtId="0" fontId="0" fillId="7" borderId="11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16" fillId="2" borderId="6" xfId="0" applyFont="1" applyFill="1" applyBorder="1" applyAlignment="1">
      <alignment horizontal="center" vertical="center"/>
    </xf>
    <xf numFmtId="0" fontId="16" fillId="2" borderId="61" xfId="0" applyFont="1" applyFill="1" applyBorder="1" applyAlignment="1">
      <alignment horizontal="center" vertical="center"/>
    </xf>
    <xf numFmtId="0" fontId="16" fillId="2" borderId="19" xfId="0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6" fillId="2" borderId="8" xfId="0" applyFont="1" applyFill="1" applyBorder="1" applyAlignment="1">
      <alignment horizontal="center" vertical="center"/>
    </xf>
    <xf numFmtId="0" fontId="16" fillId="2" borderId="9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 indent="2"/>
    </xf>
    <xf numFmtId="0" fontId="0" fillId="0" borderId="5" xfId="0" applyBorder="1" applyAlignment="1">
      <alignment horizontal="left" vertical="center" indent="2"/>
    </xf>
    <xf numFmtId="0" fontId="11" fillId="3" borderId="6" xfId="0" applyFont="1" applyFill="1" applyBorder="1" applyAlignment="1">
      <alignment horizontal="center" vertical="center"/>
    </xf>
    <xf numFmtId="0" fontId="11" fillId="3" borderId="61" xfId="0" applyFont="1" applyFill="1" applyBorder="1" applyAlignment="1">
      <alignment horizontal="center" vertical="center"/>
    </xf>
    <xf numFmtId="0" fontId="11" fillId="3" borderId="19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11" fillId="3" borderId="9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left" vertical="center" indent="2"/>
    </xf>
    <xf numFmtId="0" fontId="8" fillId="5" borderId="4" xfId="0" applyFont="1" applyFill="1" applyBorder="1" applyAlignment="1">
      <alignment horizontal="left" vertical="center" indent="2"/>
    </xf>
    <xf numFmtId="0" fontId="8" fillId="5" borderId="5" xfId="0" applyFont="1" applyFill="1" applyBorder="1" applyAlignment="1">
      <alignment horizontal="left" vertical="center" indent="2"/>
    </xf>
    <xf numFmtId="0" fontId="3" fillId="2" borderId="1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61" xfId="0" applyFont="1" applyFill="1" applyBorder="1" applyAlignment="1">
      <alignment horizontal="center"/>
    </xf>
    <xf numFmtId="0" fontId="3" fillId="2" borderId="19" xfId="0" applyFont="1" applyFill="1" applyBorder="1" applyAlignment="1">
      <alignment horizontal="center"/>
    </xf>
    <xf numFmtId="9" fontId="31" fillId="4" borderId="1" xfId="4" applyFont="1" applyFill="1" applyBorder="1" applyAlignment="1">
      <alignment horizontal="center" vertical="center"/>
    </xf>
    <xf numFmtId="9" fontId="31" fillId="4" borderId="9" xfId="4" applyFont="1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 indent="2"/>
    </xf>
    <xf numFmtId="0" fontId="0" fillId="5" borderId="4" xfId="0" applyFill="1" applyBorder="1" applyAlignment="1">
      <alignment horizontal="left" vertical="center" indent="2"/>
    </xf>
    <xf numFmtId="0" fontId="12" fillId="6" borderId="10" xfId="0" applyFont="1" applyFill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left" vertical="center" indent="2"/>
    </xf>
    <xf numFmtId="0" fontId="9" fillId="3" borderId="8" xfId="0" applyFont="1" applyFill="1" applyBorder="1" applyAlignment="1">
      <alignment horizontal="left" vertical="center" indent="2"/>
    </xf>
    <xf numFmtId="0" fontId="9" fillId="3" borderId="9" xfId="0" applyFont="1" applyFill="1" applyBorder="1" applyAlignment="1">
      <alignment horizontal="left" vertical="center" indent="2"/>
    </xf>
    <xf numFmtId="0" fontId="13" fillId="3" borderId="10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 indent="2"/>
    </xf>
    <xf numFmtId="0" fontId="3" fillId="3" borderId="4" xfId="0" applyFont="1" applyFill="1" applyBorder="1" applyAlignment="1">
      <alignment horizontal="left" vertical="center" indent="2"/>
    </xf>
    <xf numFmtId="0" fontId="9" fillId="3" borderId="1" xfId="0" applyFont="1" applyFill="1" applyBorder="1" applyAlignment="1">
      <alignment horizontal="left" vertical="center" indent="2"/>
    </xf>
    <xf numFmtId="0" fontId="9" fillId="3" borderId="4" xfId="0" applyFont="1" applyFill="1" applyBorder="1" applyAlignment="1">
      <alignment horizontal="left" vertical="center" indent="2"/>
    </xf>
    <xf numFmtId="0" fontId="9" fillId="3" borderId="5" xfId="0" applyFont="1" applyFill="1" applyBorder="1" applyAlignment="1">
      <alignment horizontal="left" vertical="center" indent="2"/>
    </xf>
    <xf numFmtId="9" fontId="31" fillId="4" borderId="5" xfId="4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9" fillId="0" borderId="0" xfId="0" applyFont="1" applyAlignment="1">
      <alignment horizontal="center"/>
    </xf>
    <xf numFmtId="49" fontId="0" fillId="0" borderId="0" xfId="0" applyNumberFormat="1"/>
  </cellXfs>
  <cellStyles count="5">
    <cellStyle name="Euro" xfId="1"/>
    <cellStyle name="Milliers" xfId="2" builtinId="3"/>
    <cellStyle name="Monétaire" xfId="3" builtinId="4"/>
    <cellStyle name="Normal" xfId="0" builtinId="0"/>
    <cellStyle name="Pourcentage" xfId="4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161925</xdr:rowOff>
        </xdr:from>
        <xdr:to>
          <xdr:col>1</xdr:col>
          <xdr:colOff>552450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Nouvelle Fiche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1</xdr:col>
          <xdr:colOff>542925</xdr:colOff>
          <xdr:row>4</xdr:row>
          <xdr:rowOff>161925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Copier Lot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333375</xdr:colOff>
      <xdr:row>9</xdr:row>
      <xdr:rowOff>123360</xdr:rowOff>
    </xdr:from>
    <xdr:to>
      <xdr:col>7</xdr:col>
      <xdr:colOff>419100</xdr:colOff>
      <xdr:row>17</xdr:row>
      <xdr:rowOff>76200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905375" y="1714035"/>
          <a:ext cx="1819275" cy="155304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rgb="FF00B0F0"/>
    <pageSetUpPr fitToPage="1"/>
  </sheetPr>
  <dimension ref="A1:AD62"/>
  <sheetViews>
    <sheetView tabSelected="1" zoomScaleNormal="100" workbookViewId="0">
      <pane ySplit="8" topLeftCell="A9" activePane="bottomLeft" state="frozen"/>
      <selection pane="bottomLeft" activeCell="B3" sqref="B3"/>
    </sheetView>
  </sheetViews>
  <sheetFormatPr baseColWidth="10" defaultRowHeight="15" x14ac:dyDescent="0.25"/>
  <cols>
    <col min="1" max="1" width="7.5703125" customWidth="1"/>
    <col min="2" max="2" width="26" bestFit="1" customWidth="1"/>
    <col min="3" max="3" width="15.7109375" customWidth="1"/>
    <col min="4" max="4" width="9.42578125" bestFit="1" customWidth="1"/>
    <col min="5" max="5" width="14.85546875" bestFit="1" customWidth="1"/>
    <col min="6" max="6" width="11.5703125" bestFit="1" customWidth="1"/>
    <col min="7" max="7" width="11.5703125" customWidth="1"/>
    <col min="8" max="8" width="18.42578125" bestFit="1" customWidth="1"/>
    <col min="9" max="9" width="17.140625" bestFit="1" customWidth="1"/>
    <col min="10" max="10" width="10.85546875" customWidth="1"/>
    <col min="11" max="11" width="13.42578125" bestFit="1" customWidth="1"/>
    <col min="12" max="12" width="13.42578125" hidden="1" customWidth="1"/>
    <col min="13" max="13" width="0" hidden="1" customWidth="1"/>
    <col min="14" max="14" width="10.5703125" style="3" customWidth="1"/>
    <col min="15" max="15" width="17.140625" customWidth="1"/>
    <col min="16" max="16" width="16.140625" bestFit="1" customWidth="1"/>
    <col min="17" max="17" width="18.7109375" bestFit="1" customWidth="1"/>
    <col min="18" max="18" width="19.5703125" customWidth="1"/>
    <col min="19" max="19" width="28.85546875" bestFit="1" customWidth="1"/>
    <col min="20" max="20" width="24.85546875" bestFit="1" customWidth="1"/>
    <col min="21" max="21" width="34.42578125" bestFit="1" customWidth="1"/>
    <col min="22" max="22" width="22.140625" bestFit="1" customWidth="1"/>
    <col min="23" max="23" width="22.28515625" bestFit="1" customWidth="1"/>
    <col min="24" max="24" width="12.7109375" bestFit="1" customWidth="1"/>
    <col min="26" max="26" width="12.7109375" bestFit="1" customWidth="1"/>
    <col min="27" max="27" width="13" bestFit="1" customWidth="1"/>
    <col min="28" max="28" width="11.140625" bestFit="1" customWidth="1"/>
    <col min="29" max="29" width="7.85546875" bestFit="1" customWidth="1"/>
    <col min="30" max="30" width="8.7109375" bestFit="1" customWidth="1"/>
  </cols>
  <sheetData>
    <row r="1" spans="1:30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69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</row>
    <row r="2" spans="1:30" ht="15.75" customHeight="1" thickBot="1" x14ac:dyDescent="0.3">
      <c r="A2" s="70"/>
      <c r="B2" s="71"/>
      <c r="C2" s="71"/>
      <c r="D2" s="71"/>
      <c r="E2" s="70"/>
      <c r="F2" s="70"/>
      <c r="G2" s="70"/>
      <c r="H2" s="70"/>
      <c r="I2" s="70"/>
      <c r="J2" s="70"/>
      <c r="K2" s="70"/>
      <c r="L2" s="70"/>
      <c r="M2" s="70"/>
      <c r="N2" s="69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</row>
    <row r="3" spans="1:30" ht="15.75" customHeight="1" x14ac:dyDescent="0.25">
      <c r="A3" s="70"/>
      <c r="B3" s="71"/>
      <c r="C3" s="71"/>
      <c r="D3" s="71"/>
      <c r="E3" s="279" t="s">
        <v>107</v>
      </c>
      <c r="F3" s="280"/>
      <c r="G3" s="280"/>
      <c r="H3" s="280"/>
      <c r="I3" s="280"/>
      <c r="J3" s="281"/>
      <c r="K3" s="70"/>
      <c r="L3" s="70"/>
      <c r="M3" s="70"/>
      <c r="N3" s="69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</row>
    <row r="4" spans="1:30" ht="15.75" customHeight="1" thickBot="1" x14ac:dyDescent="0.3">
      <c r="A4" s="70"/>
      <c r="B4" s="70"/>
      <c r="C4" s="70"/>
      <c r="D4" s="70"/>
      <c r="E4" s="282"/>
      <c r="F4" s="283"/>
      <c r="G4" s="283"/>
      <c r="H4" s="283"/>
      <c r="I4" s="283"/>
      <c r="J4" s="284"/>
      <c r="K4" s="70"/>
      <c r="L4" s="70"/>
      <c r="M4" s="70"/>
      <c r="N4" s="69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</row>
    <row r="5" spans="1:30" x14ac:dyDescent="0.2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69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</row>
    <row r="6" spans="1:30" ht="15.75" thickBot="1" x14ac:dyDescent="0.3">
      <c r="A6" s="70"/>
      <c r="B6" s="69"/>
      <c r="C6" s="72"/>
      <c r="D6" s="72"/>
      <c r="E6" s="70"/>
      <c r="F6" s="70"/>
      <c r="G6" s="70"/>
      <c r="H6" s="70"/>
      <c r="I6" s="70"/>
      <c r="J6" s="70"/>
      <c r="K6" s="72"/>
      <c r="L6" s="72"/>
      <c r="M6" s="70"/>
      <c r="N6" s="69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</row>
    <row r="7" spans="1:30" ht="15" customHeight="1" thickBot="1" x14ac:dyDescent="0.3">
      <c r="A7" s="285" t="s">
        <v>97</v>
      </c>
      <c r="B7" s="286"/>
      <c r="C7" s="73" t="s">
        <v>102</v>
      </c>
      <c r="D7" s="285" t="s">
        <v>98</v>
      </c>
      <c r="E7" s="287"/>
      <c r="F7" s="287"/>
      <c r="G7" s="287"/>
      <c r="H7" s="286"/>
      <c r="I7" s="288" t="s">
        <v>99</v>
      </c>
      <c r="J7" s="289"/>
      <c r="K7" s="73" t="s">
        <v>100</v>
      </c>
      <c r="L7" s="246"/>
      <c r="M7" s="115"/>
      <c r="N7" s="116"/>
      <c r="O7" s="270" t="s">
        <v>23</v>
      </c>
      <c r="P7" s="271"/>
      <c r="Q7" s="74">
        <v>8</v>
      </c>
      <c r="R7" s="74" t="s">
        <v>24</v>
      </c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</row>
    <row r="8" spans="1:30" ht="15.75" customHeight="1" thickBot="1" x14ac:dyDescent="0.3">
      <c r="A8" s="272">
        <v>1514001101</v>
      </c>
      <c r="B8" s="273"/>
      <c r="C8" s="185"/>
      <c r="D8" s="274"/>
      <c r="E8" s="275"/>
      <c r="F8" s="275"/>
      <c r="G8" s="275"/>
      <c r="H8" s="276"/>
      <c r="I8" s="274"/>
      <c r="J8" s="276"/>
      <c r="K8" s="186"/>
      <c r="L8" s="247"/>
      <c r="M8" s="115"/>
      <c r="N8" s="116"/>
      <c r="O8" s="7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</row>
    <row r="9" spans="1:30" x14ac:dyDescent="0.25">
      <c r="A9" s="290" t="s">
        <v>0</v>
      </c>
      <c r="B9" s="277" t="s">
        <v>1</v>
      </c>
      <c r="C9" s="277" t="s">
        <v>2</v>
      </c>
      <c r="D9" s="277" t="s">
        <v>3</v>
      </c>
      <c r="E9" s="277" t="s">
        <v>4</v>
      </c>
      <c r="F9" s="277" t="s">
        <v>5</v>
      </c>
      <c r="G9" s="300" t="s">
        <v>138</v>
      </c>
      <c r="H9" s="277" t="s">
        <v>6</v>
      </c>
      <c r="I9" s="302" t="s">
        <v>9</v>
      </c>
      <c r="J9" s="304" t="s">
        <v>11</v>
      </c>
      <c r="K9" s="305" t="s">
        <v>14</v>
      </c>
      <c r="L9" s="248"/>
      <c r="M9" s="115"/>
      <c r="N9" s="76"/>
      <c r="O9" s="307" t="s">
        <v>94</v>
      </c>
      <c r="P9" s="294" t="s">
        <v>15</v>
      </c>
      <c r="Q9" s="322" t="s">
        <v>7</v>
      </c>
      <c r="R9" s="292" t="s">
        <v>8</v>
      </c>
      <c r="S9" s="294" t="s">
        <v>10</v>
      </c>
      <c r="T9" s="296" t="s">
        <v>12</v>
      </c>
      <c r="U9" s="298" t="s">
        <v>13</v>
      </c>
      <c r="V9" s="292" t="s">
        <v>101</v>
      </c>
      <c r="W9" s="320" t="s">
        <v>16</v>
      </c>
      <c r="X9" s="296" t="s">
        <v>17</v>
      </c>
      <c r="Y9" s="296" t="s">
        <v>18</v>
      </c>
      <c r="Z9" s="296" t="s">
        <v>19</v>
      </c>
      <c r="AA9" s="296" t="s">
        <v>20</v>
      </c>
      <c r="AB9" s="296" t="s">
        <v>28</v>
      </c>
      <c r="AC9" s="296" t="s">
        <v>22</v>
      </c>
      <c r="AD9" s="307" t="s">
        <v>21</v>
      </c>
    </row>
    <row r="10" spans="1:30" ht="15.75" thickBot="1" x14ac:dyDescent="0.3">
      <c r="A10" s="291"/>
      <c r="B10" s="278"/>
      <c r="C10" s="278"/>
      <c r="D10" s="278"/>
      <c r="E10" s="278"/>
      <c r="F10" s="278"/>
      <c r="G10" s="301"/>
      <c r="H10" s="278"/>
      <c r="I10" s="303"/>
      <c r="J10" s="278"/>
      <c r="K10" s="306"/>
      <c r="L10" s="249"/>
      <c r="M10" s="115"/>
      <c r="N10" s="77"/>
      <c r="O10" s="308"/>
      <c r="P10" s="295"/>
      <c r="Q10" s="323"/>
      <c r="R10" s="293"/>
      <c r="S10" s="295"/>
      <c r="T10" s="297"/>
      <c r="U10" s="299"/>
      <c r="V10" s="293"/>
      <c r="W10" s="321"/>
      <c r="X10" s="297"/>
      <c r="Y10" s="297"/>
      <c r="Z10" s="297"/>
      <c r="AA10" s="297"/>
      <c r="AB10" s="297"/>
      <c r="AC10" s="297"/>
      <c r="AD10" s="297"/>
    </row>
    <row r="11" spans="1:30" x14ac:dyDescent="0.25">
      <c r="A11" s="241" t="s">
        <v>139</v>
      </c>
      <c r="B11" s="231"/>
      <c r="C11" s="226"/>
      <c r="D11" s="226"/>
      <c r="E11" s="226"/>
      <c r="F11" s="226"/>
      <c r="G11" s="239"/>
      <c r="H11" s="229">
        <f>CalculPoids(G11,D11,$Q$7)</f>
        <v>0</v>
      </c>
      <c r="I11" s="226"/>
      <c r="J11" s="226"/>
      <c r="K11" s="136"/>
      <c r="L11" s="250"/>
      <c r="M11" s="187"/>
      <c r="N11" s="118"/>
      <c r="O11" s="191">
        <f t="array" ref="O11">INDEX(Tableaux!$H$4:$H$112,MATCH(MIN(ABS(H11-Tableaux!$H$4:$H$112)),ABS(H11-Tableaux!$H$4:$H$112),0))</f>
        <v>0.01</v>
      </c>
      <c r="P11" s="191">
        <f>INDEX(Tableaux!$I$4:$I$112,MATCH(O11,Tableaux!$H$4:$H$112,0))</f>
        <v>0</v>
      </c>
      <c r="Q11" s="131">
        <f t="shared" ref="Q11:Q36" si="0">H11*F11</f>
        <v>0</v>
      </c>
      <c r="R11" s="128">
        <f>IF(OR(D11=0,$Q$7=0),0,ROUND(((Q11/D11)/$Q$7),4))</f>
        <v>0</v>
      </c>
      <c r="S11" s="131">
        <f t="shared" ref="S11:S36" si="1">I11*F11</f>
        <v>0</v>
      </c>
      <c r="T11" s="216">
        <f t="shared" ref="T11:T36" si="2">S11*J11*$Q$7*J11/1000</f>
        <v>0</v>
      </c>
      <c r="U11" s="128">
        <f>IF(ISNA(INDEX(Tableaux!$C$6:$C$21,MATCH(J11,Tableaux!$B$6:$B$21,0))),0, INDEX(Tableaux!$C$6:$C$21,MATCH(J11,Tableaux!$B$6:$B$21,0)))</f>
        <v>0</v>
      </c>
      <c r="V11" s="131">
        <f t="shared" ref="V11:V36" si="3">ROUND(S11*U11*K11,2)</f>
        <v>0</v>
      </c>
      <c r="W11" s="216">
        <f t="shared" ref="W11:W36" si="4">F11*P11</f>
        <v>0</v>
      </c>
      <c r="X11" s="225"/>
      <c r="Y11" s="219"/>
      <c r="Z11" s="220"/>
      <c r="AA11" s="220"/>
      <c r="AB11" s="220"/>
      <c r="AC11" s="219"/>
      <c r="AD11" s="126"/>
    </row>
    <row r="12" spans="1:30" x14ac:dyDescent="0.25">
      <c r="A12" s="242" t="s">
        <v>139</v>
      </c>
      <c r="B12" s="232"/>
      <c r="C12" s="228"/>
      <c r="D12" s="228"/>
      <c r="E12" s="228"/>
      <c r="F12" s="228"/>
      <c r="G12" s="229"/>
      <c r="H12" s="229">
        <f>CalculPoids(G12,D12,$Q$7)</f>
        <v>0</v>
      </c>
      <c r="I12" s="226"/>
      <c r="J12" s="226"/>
      <c r="K12" s="136"/>
      <c r="L12" s="250"/>
      <c r="M12" s="140"/>
      <c r="N12" s="118"/>
      <c r="O12" s="192">
        <f t="array" ref="O12">INDEX(Tableaux!$H$4:$H$112,MATCH(MIN(ABS(H12-Tableaux!$H$4:$H$112)),ABS(H12-Tableaux!$H$4:$H$112),0))</f>
        <v>0.01</v>
      </c>
      <c r="P12" s="192">
        <f>INDEX(Tableaux!$I$4:$I$112,MATCH(O12,Tableaux!$H$4:$H$112,0))</f>
        <v>0</v>
      </c>
      <c r="Q12" s="218">
        <f t="shared" si="0"/>
        <v>0</v>
      </c>
      <c r="R12" s="128">
        <f t="shared" ref="R12:R37" si="5">IF(OR(D12=0,$Q$7=0),0,ROUND(((Q12/D12)/$Q$7),4))</f>
        <v>0</v>
      </c>
      <c r="S12" s="218">
        <f t="shared" si="1"/>
        <v>0</v>
      </c>
      <c r="T12" s="189">
        <f t="shared" si="2"/>
        <v>0</v>
      </c>
      <c r="U12" s="128">
        <f>IF(ISNA(INDEX(Tableaux!$C$6:$C$21,MATCH(J12,Tableaux!$B$6:$B$21,0))),0, INDEX(Tableaux!$C$6:$C$21,MATCH(J12,Tableaux!$B$6:$B$21,0)))</f>
        <v>0</v>
      </c>
      <c r="V12" s="131">
        <f t="shared" si="3"/>
        <v>0</v>
      </c>
      <c r="W12" s="189">
        <f t="shared" si="4"/>
        <v>0</v>
      </c>
      <c r="X12" s="137"/>
      <c r="Y12" s="138"/>
      <c r="Z12" s="138"/>
      <c r="AA12" s="138"/>
      <c r="AB12" s="138"/>
      <c r="AC12" s="138"/>
      <c r="AD12" s="139"/>
    </row>
    <row r="13" spans="1:30" x14ac:dyDescent="0.25">
      <c r="A13" s="243" t="s">
        <v>139</v>
      </c>
      <c r="B13" s="233"/>
      <c r="C13" s="79"/>
      <c r="D13" s="79"/>
      <c r="E13" s="79"/>
      <c r="F13" s="79"/>
      <c r="G13" s="217"/>
      <c r="H13" s="229">
        <f t="shared" ref="H13:H32" si="6">CalculPoids(G13,D13,$Q$7)</f>
        <v>0</v>
      </c>
      <c r="I13" s="79"/>
      <c r="J13" s="79"/>
      <c r="K13" s="136"/>
      <c r="L13" s="250"/>
      <c r="M13" s="140"/>
      <c r="N13" s="118"/>
      <c r="O13" s="192">
        <f t="array" ref="O13">INDEX(Tableaux!$H$4:$H$112,MATCH(MIN(ABS(H13-Tableaux!$H$4:$H$112)),ABS(H13-Tableaux!$H$4:$H$112),0))</f>
        <v>0.01</v>
      </c>
      <c r="P13" s="192">
        <f>INDEX(Tableaux!$I$4:$I$112,MATCH(O13,Tableaux!$H$4:$H$112,0))</f>
        <v>0</v>
      </c>
      <c r="Q13" s="218">
        <f t="shared" si="0"/>
        <v>0</v>
      </c>
      <c r="R13" s="128">
        <f t="shared" si="5"/>
        <v>0</v>
      </c>
      <c r="S13" s="218">
        <f t="shared" si="1"/>
        <v>0</v>
      </c>
      <c r="T13" s="189">
        <f t="shared" si="2"/>
        <v>0</v>
      </c>
      <c r="U13" s="128">
        <f>IF(ISNA(INDEX(Tableaux!$C$6:$C$21,MATCH(J13,Tableaux!$B$6:$B$21,0))),0, INDEX(Tableaux!$C$6:$C$21,MATCH(J13,Tableaux!$B$6:$B$21,0)))</f>
        <v>0</v>
      </c>
      <c r="V13" s="131">
        <f t="shared" si="3"/>
        <v>0</v>
      </c>
      <c r="W13" s="189">
        <f t="shared" si="4"/>
        <v>0</v>
      </c>
      <c r="X13" s="137"/>
      <c r="Y13" s="138"/>
      <c r="Z13" s="138"/>
      <c r="AA13" s="138"/>
      <c r="AB13" s="138"/>
      <c r="AC13" s="138"/>
      <c r="AD13" s="139"/>
    </row>
    <row r="14" spans="1:30" x14ac:dyDescent="0.25">
      <c r="A14" s="243" t="s">
        <v>139</v>
      </c>
      <c r="B14" s="233"/>
      <c r="C14" s="79"/>
      <c r="D14" s="79"/>
      <c r="E14" s="79"/>
      <c r="F14" s="79"/>
      <c r="G14" s="217"/>
      <c r="H14" s="229">
        <f t="shared" si="6"/>
        <v>0</v>
      </c>
      <c r="I14" s="79"/>
      <c r="J14" s="79"/>
      <c r="K14" s="136"/>
      <c r="L14" s="250"/>
      <c r="M14" s="140"/>
      <c r="N14" s="118"/>
      <c r="O14" s="192">
        <f t="array" ref="O14">INDEX(Tableaux!$H$4:$H$112,MATCH(MIN(ABS(H14-Tableaux!$H$4:$H$112)),ABS(H14-Tableaux!$H$4:$H$112),0))</f>
        <v>0.01</v>
      </c>
      <c r="P14" s="192">
        <f>INDEX(Tableaux!$I$4:$I$112,MATCH(O14,Tableaux!$H$4:$H$112,0))</f>
        <v>0</v>
      </c>
      <c r="Q14" s="218">
        <f t="shared" si="0"/>
        <v>0</v>
      </c>
      <c r="R14" s="128">
        <f t="shared" si="5"/>
        <v>0</v>
      </c>
      <c r="S14" s="218">
        <f t="shared" si="1"/>
        <v>0</v>
      </c>
      <c r="T14" s="189">
        <f t="shared" si="2"/>
        <v>0</v>
      </c>
      <c r="U14" s="128">
        <f>IF(ISNA(INDEX(Tableaux!$C$6:$C$21,MATCH(J14,Tableaux!$B$6:$B$21,0))),0, INDEX(Tableaux!$C$6:$C$21,MATCH(J14,Tableaux!$B$6:$B$21,0)))</f>
        <v>0</v>
      </c>
      <c r="V14" s="131">
        <f t="shared" si="3"/>
        <v>0</v>
      </c>
      <c r="W14" s="189">
        <f t="shared" si="4"/>
        <v>0</v>
      </c>
      <c r="X14" s="137"/>
      <c r="Y14" s="138"/>
      <c r="Z14" s="138"/>
      <c r="AA14" s="138"/>
      <c r="AB14" s="138"/>
      <c r="AC14" s="138"/>
      <c r="AD14" s="139"/>
    </row>
    <row r="15" spans="1:30" x14ac:dyDescent="0.25">
      <c r="A15" s="243" t="s">
        <v>139</v>
      </c>
      <c r="B15" s="233"/>
      <c r="C15" s="79"/>
      <c r="D15" s="79"/>
      <c r="E15" s="79"/>
      <c r="F15" s="79"/>
      <c r="G15" s="217"/>
      <c r="H15" s="229">
        <f t="shared" si="6"/>
        <v>0</v>
      </c>
      <c r="I15" s="79"/>
      <c r="J15" s="79"/>
      <c r="K15" s="136"/>
      <c r="L15" s="250"/>
      <c r="M15" s="140"/>
      <c r="N15" s="118"/>
      <c r="O15" s="192">
        <f t="array" ref="O15">INDEX(Tableaux!$H$4:$H$112,MATCH(MIN(ABS(H15-Tableaux!$H$4:$H$112)),ABS(H15-Tableaux!$H$4:$H$112),0))</f>
        <v>0.01</v>
      </c>
      <c r="P15" s="192">
        <f>INDEX(Tableaux!$I$4:$I$112,MATCH(O15,Tableaux!$H$4:$H$112,0))</f>
        <v>0</v>
      </c>
      <c r="Q15" s="218">
        <f t="shared" si="0"/>
        <v>0</v>
      </c>
      <c r="R15" s="128">
        <f t="shared" si="5"/>
        <v>0</v>
      </c>
      <c r="S15" s="218">
        <f t="shared" si="1"/>
        <v>0</v>
      </c>
      <c r="T15" s="189">
        <f t="shared" si="2"/>
        <v>0</v>
      </c>
      <c r="U15" s="128">
        <f>IF(ISNA(INDEX(Tableaux!$C$6:$C$21,MATCH(J15,Tableaux!$B$6:$B$21,0))),0, INDEX(Tableaux!$C$6:$C$21,MATCH(J15,Tableaux!$B$6:$B$21,0)))</f>
        <v>0</v>
      </c>
      <c r="V15" s="131">
        <f t="shared" si="3"/>
        <v>0</v>
      </c>
      <c r="W15" s="189">
        <f t="shared" si="4"/>
        <v>0</v>
      </c>
      <c r="X15" s="137"/>
      <c r="Y15" s="138"/>
      <c r="Z15" s="138"/>
      <c r="AA15" s="138"/>
      <c r="AB15" s="138"/>
      <c r="AC15" s="138"/>
      <c r="AD15" s="139"/>
    </row>
    <row r="16" spans="1:30" x14ac:dyDescent="0.25">
      <c r="A16" s="243" t="s">
        <v>139</v>
      </c>
      <c r="B16" s="233"/>
      <c r="C16" s="79"/>
      <c r="D16" s="79"/>
      <c r="E16" s="79"/>
      <c r="F16" s="79"/>
      <c r="G16" s="217"/>
      <c r="H16" s="229">
        <f t="shared" si="6"/>
        <v>0</v>
      </c>
      <c r="I16" s="79"/>
      <c r="J16" s="79"/>
      <c r="K16" s="136"/>
      <c r="L16" s="250"/>
      <c r="M16" s="140"/>
      <c r="N16" s="118"/>
      <c r="O16" s="192">
        <f t="array" ref="O16">INDEX(Tableaux!$H$4:$H$112,MATCH(MIN(ABS(H16-Tableaux!$H$4:$H$112)),ABS(H16-Tableaux!$H$4:$H$112),0))</f>
        <v>0.01</v>
      </c>
      <c r="P16" s="192">
        <f>INDEX(Tableaux!$I$4:$I$112,MATCH(O16,Tableaux!$H$4:$H$112,0))</f>
        <v>0</v>
      </c>
      <c r="Q16" s="218">
        <f t="shared" si="0"/>
        <v>0</v>
      </c>
      <c r="R16" s="128">
        <f t="shared" si="5"/>
        <v>0</v>
      </c>
      <c r="S16" s="218">
        <f t="shared" si="1"/>
        <v>0</v>
      </c>
      <c r="T16" s="189">
        <f t="shared" si="2"/>
        <v>0</v>
      </c>
      <c r="U16" s="128">
        <f>IF(ISNA(INDEX(Tableaux!$C$6:$C$21,MATCH(J16,Tableaux!$B$6:$B$21,0))),0, INDEX(Tableaux!$C$6:$C$21,MATCH(J16,Tableaux!$B$6:$B$21,0)))</f>
        <v>0</v>
      </c>
      <c r="V16" s="131">
        <f t="shared" si="3"/>
        <v>0</v>
      </c>
      <c r="W16" s="189">
        <f t="shared" si="4"/>
        <v>0</v>
      </c>
      <c r="X16" s="137"/>
      <c r="Y16" s="138"/>
      <c r="Z16" s="138"/>
      <c r="AA16" s="138"/>
      <c r="AB16" s="138"/>
      <c r="AC16" s="138"/>
      <c r="AD16" s="139"/>
    </row>
    <row r="17" spans="1:30" x14ac:dyDescent="0.25">
      <c r="A17" s="243" t="s">
        <v>139</v>
      </c>
      <c r="B17" s="233"/>
      <c r="C17" s="79"/>
      <c r="D17" s="79"/>
      <c r="E17" s="79"/>
      <c r="F17" s="79"/>
      <c r="G17" s="217"/>
      <c r="H17" s="229">
        <f t="shared" si="6"/>
        <v>0</v>
      </c>
      <c r="I17" s="79"/>
      <c r="J17" s="79"/>
      <c r="K17" s="136"/>
      <c r="L17" s="250"/>
      <c r="M17" s="140"/>
      <c r="N17" s="118"/>
      <c r="O17" s="192">
        <f t="array" ref="O17">INDEX(Tableaux!$H$4:$H$112,MATCH(MIN(ABS(H17-Tableaux!$H$4:$H$112)),ABS(H17-Tableaux!$H$4:$H$112),0))</f>
        <v>0.01</v>
      </c>
      <c r="P17" s="192">
        <f>INDEX(Tableaux!$I$4:$I$112,MATCH(O17,Tableaux!$H$4:$H$112,0))</f>
        <v>0</v>
      </c>
      <c r="Q17" s="218">
        <f t="shared" si="0"/>
        <v>0</v>
      </c>
      <c r="R17" s="128">
        <f t="shared" si="5"/>
        <v>0</v>
      </c>
      <c r="S17" s="218">
        <f t="shared" si="1"/>
        <v>0</v>
      </c>
      <c r="T17" s="189">
        <f t="shared" si="2"/>
        <v>0</v>
      </c>
      <c r="U17" s="128">
        <f>IF(ISNA(INDEX(Tableaux!$C$6:$C$21,MATCH(J17,Tableaux!$B$6:$B$21,0))),0, INDEX(Tableaux!$C$6:$C$21,MATCH(J17,Tableaux!$B$6:$B$21,0)))</f>
        <v>0</v>
      </c>
      <c r="V17" s="131">
        <f t="shared" si="3"/>
        <v>0</v>
      </c>
      <c r="W17" s="189">
        <f t="shared" si="4"/>
        <v>0</v>
      </c>
      <c r="X17" s="137"/>
      <c r="Y17" s="138"/>
      <c r="Z17" s="138"/>
      <c r="AA17" s="138"/>
      <c r="AB17" s="138"/>
      <c r="AC17" s="138"/>
      <c r="AD17" s="139"/>
    </row>
    <row r="18" spans="1:30" x14ac:dyDescent="0.25">
      <c r="A18" s="244" t="s">
        <v>139</v>
      </c>
      <c r="B18" s="236"/>
      <c r="C18" s="237"/>
      <c r="D18" s="237"/>
      <c r="E18" s="237"/>
      <c r="F18" s="237"/>
      <c r="G18" s="238"/>
      <c r="H18" s="229">
        <f t="shared" si="6"/>
        <v>0</v>
      </c>
      <c r="I18" s="226"/>
      <c r="J18" s="79"/>
      <c r="K18" s="136"/>
      <c r="L18" s="250"/>
      <c r="M18" s="140"/>
      <c r="N18" s="118"/>
      <c r="O18" s="192">
        <f t="array" ref="O18">INDEX(Tableaux!$H$4:$H$112,MATCH(MIN(ABS(H18-Tableaux!$H$4:$H$112)),ABS(H18-Tableaux!$H$4:$H$112),0))</f>
        <v>0.01</v>
      </c>
      <c r="P18" s="192">
        <f>INDEX(Tableaux!$I$4:$I$112,MATCH(O18,Tableaux!$H$4:$H$112,0))</f>
        <v>0</v>
      </c>
      <c r="Q18" s="218">
        <f t="shared" si="0"/>
        <v>0</v>
      </c>
      <c r="R18" s="128">
        <f t="shared" si="5"/>
        <v>0</v>
      </c>
      <c r="S18" s="218">
        <f t="shared" si="1"/>
        <v>0</v>
      </c>
      <c r="T18" s="189">
        <f t="shared" si="2"/>
        <v>0</v>
      </c>
      <c r="U18" s="128">
        <f>IF(ISNA(INDEX(Tableaux!$C$6:$C$21,MATCH(J18,Tableaux!$B$6:$B$21,0))),0, INDEX(Tableaux!$C$6:$C$21,MATCH(J18,Tableaux!$B$6:$B$21,0)))</f>
        <v>0</v>
      </c>
      <c r="V18" s="131">
        <f t="shared" si="3"/>
        <v>0</v>
      </c>
      <c r="W18" s="189">
        <f t="shared" si="4"/>
        <v>0</v>
      </c>
      <c r="X18" s="137"/>
      <c r="Y18" s="138"/>
      <c r="Z18" s="138"/>
      <c r="AA18" s="138"/>
      <c r="AB18" s="138"/>
      <c r="AC18" s="138"/>
      <c r="AD18" s="139"/>
    </row>
    <row r="19" spans="1:30" x14ac:dyDescent="0.25">
      <c r="A19" s="241" t="s">
        <v>139</v>
      </c>
      <c r="B19" s="231"/>
      <c r="C19" s="226"/>
      <c r="D19" s="226"/>
      <c r="E19" s="226"/>
      <c r="F19" s="226"/>
      <c r="G19" s="239"/>
      <c r="H19" s="229">
        <f t="shared" si="6"/>
        <v>0</v>
      </c>
      <c r="I19" s="226"/>
      <c r="J19" s="226"/>
      <c r="K19" s="136"/>
      <c r="L19" s="250"/>
      <c r="M19" s="140"/>
      <c r="N19" s="118"/>
      <c r="O19" s="192">
        <f t="array" ref="O19">INDEX(Tableaux!$H$4:$H$112,MATCH(MIN(ABS(H19-Tableaux!$H$4:$H$112)),ABS(H19-Tableaux!$H$4:$H$112),0))</f>
        <v>0.01</v>
      </c>
      <c r="P19" s="192">
        <f>INDEX(Tableaux!$I$4:$I$112,MATCH(O19,Tableaux!$H$4:$H$112,0))</f>
        <v>0</v>
      </c>
      <c r="Q19" s="218">
        <f t="shared" si="0"/>
        <v>0</v>
      </c>
      <c r="R19" s="128">
        <f t="shared" si="5"/>
        <v>0</v>
      </c>
      <c r="S19" s="218">
        <f t="shared" si="1"/>
        <v>0</v>
      </c>
      <c r="T19" s="189">
        <f t="shared" si="2"/>
        <v>0</v>
      </c>
      <c r="U19" s="128">
        <f>IF(ISNA(INDEX(Tableaux!$C$6:$C$21,MATCH(J19,Tableaux!$B$6:$B$21,0))),0, INDEX(Tableaux!$C$6:$C$21,MATCH(J19,Tableaux!$B$6:$B$21,0)))</f>
        <v>0</v>
      </c>
      <c r="V19" s="131">
        <f t="shared" si="3"/>
        <v>0</v>
      </c>
      <c r="W19" s="189">
        <f t="shared" si="4"/>
        <v>0</v>
      </c>
      <c r="X19" s="137"/>
      <c r="Y19" s="138"/>
      <c r="Z19" s="138"/>
      <c r="AA19" s="138"/>
      <c r="AB19" s="138"/>
      <c r="AC19" s="138"/>
      <c r="AD19" s="139"/>
    </row>
    <row r="20" spans="1:30" x14ac:dyDescent="0.25">
      <c r="A20" s="243" t="s">
        <v>139</v>
      </c>
      <c r="B20" s="233"/>
      <c r="C20" s="79"/>
      <c r="D20" s="79"/>
      <c r="E20" s="79"/>
      <c r="F20" s="79"/>
      <c r="G20" s="217"/>
      <c r="H20" s="229">
        <f t="shared" si="6"/>
        <v>0</v>
      </c>
      <c r="I20" s="79"/>
      <c r="J20" s="79"/>
      <c r="K20" s="136"/>
      <c r="L20" s="250"/>
      <c r="M20" s="140"/>
      <c r="N20" s="118"/>
      <c r="O20" s="192">
        <f t="array" ref="O20">INDEX(Tableaux!$H$4:$H$112,MATCH(MIN(ABS(H20-Tableaux!$H$4:$H$112)),ABS(H20-Tableaux!$H$4:$H$112),0))</f>
        <v>0.01</v>
      </c>
      <c r="P20" s="192">
        <f>INDEX(Tableaux!$I$4:$I$112,MATCH(O20,Tableaux!$H$4:$H$112,0))</f>
        <v>0</v>
      </c>
      <c r="Q20" s="218">
        <f t="shared" si="0"/>
        <v>0</v>
      </c>
      <c r="R20" s="128">
        <f t="shared" si="5"/>
        <v>0</v>
      </c>
      <c r="S20" s="218">
        <f t="shared" si="1"/>
        <v>0</v>
      </c>
      <c r="T20" s="189">
        <f t="shared" si="2"/>
        <v>0</v>
      </c>
      <c r="U20" s="128">
        <f>IF(ISNA(INDEX(Tableaux!$C$6:$C$21,MATCH(J20,Tableaux!$B$6:$B$21,0))),0, INDEX(Tableaux!$C$6:$C$21,MATCH(J20,Tableaux!$B$6:$B$21,0)))</f>
        <v>0</v>
      </c>
      <c r="V20" s="131">
        <f t="shared" si="3"/>
        <v>0</v>
      </c>
      <c r="W20" s="189">
        <f t="shared" si="4"/>
        <v>0</v>
      </c>
      <c r="X20" s="137"/>
      <c r="Y20" s="138"/>
      <c r="Z20" s="138"/>
      <c r="AA20" s="138"/>
      <c r="AB20" s="138"/>
      <c r="AC20" s="138"/>
      <c r="AD20" s="139"/>
    </row>
    <row r="21" spans="1:30" x14ac:dyDescent="0.25">
      <c r="A21" s="243" t="s">
        <v>139</v>
      </c>
      <c r="B21" s="233"/>
      <c r="C21" s="79"/>
      <c r="D21" s="79"/>
      <c r="E21" s="79"/>
      <c r="F21" s="79"/>
      <c r="G21" s="217"/>
      <c r="H21" s="229">
        <f t="shared" si="6"/>
        <v>0</v>
      </c>
      <c r="I21" s="79"/>
      <c r="J21" s="79"/>
      <c r="K21" s="136"/>
      <c r="L21" s="250"/>
      <c r="M21" s="140"/>
      <c r="N21" s="118"/>
      <c r="O21" s="192">
        <f t="array" ref="O21">INDEX(Tableaux!$H$4:$H$112,MATCH(MIN(ABS(H21-Tableaux!$H$4:$H$112)),ABS(H21-Tableaux!$H$4:$H$112),0))</f>
        <v>0.01</v>
      </c>
      <c r="P21" s="192">
        <f>INDEX(Tableaux!$I$4:$I$112,MATCH(O21,Tableaux!$H$4:$H$112,0))</f>
        <v>0</v>
      </c>
      <c r="Q21" s="218">
        <f t="shared" si="0"/>
        <v>0</v>
      </c>
      <c r="R21" s="128">
        <f t="shared" si="5"/>
        <v>0</v>
      </c>
      <c r="S21" s="218">
        <f t="shared" si="1"/>
        <v>0</v>
      </c>
      <c r="T21" s="189">
        <f t="shared" si="2"/>
        <v>0</v>
      </c>
      <c r="U21" s="128">
        <f>IF(ISNA(INDEX(Tableaux!$C$6:$C$21,MATCH(J21,Tableaux!$B$6:$B$21,0))),0, INDEX(Tableaux!$C$6:$C$21,MATCH(J21,Tableaux!$B$6:$B$21,0)))</f>
        <v>0</v>
      </c>
      <c r="V21" s="131">
        <f t="shared" si="3"/>
        <v>0</v>
      </c>
      <c r="W21" s="189">
        <f t="shared" si="4"/>
        <v>0</v>
      </c>
      <c r="X21" s="137"/>
      <c r="Y21" s="138"/>
      <c r="Z21" s="138"/>
      <c r="AA21" s="138"/>
      <c r="AB21" s="138"/>
      <c r="AC21" s="138"/>
      <c r="AD21" s="139"/>
    </row>
    <row r="22" spans="1:30" x14ac:dyDescent="0.25">
      <c r="A22" s="243" t="s">
        <v>139</v>
      </c>
      <c r="B22" s="233"/>
      <c r="C22" s="79"/>
      <c r="D22" s="79"/>
      <c r="E22" s="79"/>
      <c r="F22" s="79"/>
      <c r="G22" s="217"/>
      <c r="H22" s="229">
        <f t="shared" si="6"/>
        <v>0</v>
      </c>
      <c r="I22" s="79"/>
      <c r="J22" s="79"/>
      <c r="K22" s="136"/>
      <c r="L22" s="250"/>
      <c r="M22" s="140"/>
      <c r="N22" s="118"/>
      <c r="O22" s="192">
        <f t="array" ref="O22">INDEX(Tableaux!$H$4:$H$112,MATCH(MIN(ABS(H22-Tableaux!$H$4:$H$112)),ABS(H22-Tableaux!$H$4:$H$112),0))</f>
        <v>0.01</v>
      </c>
      <c r="P22" s="192">
        <f>INDEX(Tableaux!$I$4:$I$112,MATCH(O22,Tableaux!$H$4:$H$112,0))</f>
        <v>0</v>
      </c>
      <c r="Q22" s="218">
        <f t="shared" si="0"/>
        <v>0</v>
      </c>
      <c r="R22" s="128">
        <f t="shared" si="5"/>
        <v>0</v>
      </c>
      <c r="S22" s="218">
        <f t="shared" si="1"/>
        <v>0</v>
      </c>
      <c r="T22" s="189">
        <f t="shared" si="2"/>
        <v>0</v>
      </c>
      <c r="U22" s="128">
        <f>IF(ISNA(INDEX(Tableaux!$C$6:$C$21,MATCH(J22,Tableaux!$B$6:$B$21,0))),0, INDEX(Tableaux!$C$6:$C$21,MATCH(J22,Tableaux!$B$6:$B$21,0)))</f>
        <v>0</v>
      </c>
      <c r="V22" s="131">
        <f t="shared" si="3"/>
        <v>0</v>
      </c>
      <c r="W22" s="189">
        <f t="shared" si="4"/>
        <v>0</v>
      </c>
      <c r="X22" s="137"/>
      <c r="Y22" s="138"/>
      <c r="Z22" s="138"/>
      <c r="AA22" s="138"/>
      <c r="AB22" s="138"/>
      <c r="AC22" s="138"/>
      <c r="AD22" s="139"/>
    </row>
    <row r="23" spans="1:30" x14ac:dyDescent="0.25">
      <c r="A23" s="241" t="s">
        <v>139</v>
      </c>
      <c r="B23" s="231"/>
      <c r="C23" s="226"/>
      <c r="D23" s="226"/>
      <c r="E23" s="226"/>
      <c r="F23" s="226"/>
      <c r="G23" s="239"/>
      <c r="H23" s="229">
        <f t="shared" si="6"/>
        <v>0</v>
      </c>
      <c r="I23" s="226"/>
      <c r="J23" s="226"/>
      <c r="K23" s="136"/>
      <c r="L23" s="250"/>
      <c r="M23" s="140"/>
      <c r="N23" s="118"/>
      <c r="O23" s="192">
        <f t="array" ref="O23">INDEX(Tableaux!$H$4:$H$112,MATCH(MIN(ABS(H23-Tableaux!$H$4:$H$112)),ABS(H23-Tableaux!$H$4:$H$112),0))</f>
        <v>0.01</v>
      </c>
      <c r="P23" s="192">
        <f>INDEX(Tableaux!$I$4:$I$112,MATCH(O23,Tableaux!$H$4:$H$112,0))</f>
        <v>0</v>
      </c>
      <c r="Q23" s="218">
        <f t="shared" si="0"/>
        <v>0</v>
      </c>
      <c r="R23" s="128">
        <f t="shared" si="5"/>
        <v>0</v>
      </c>
      <c r="S23" s="218">
        <f t="shared" si="1"/>
        <v>0</v>
      </c>
      <c r="T23" s="189">
        <f t="shared" si="2"/>
        <v>0</v>
      </c>
      <c r="U23" s="128">
        <f>IF(ISNA(INDEX(Tableaux!$C$6:$C$21,MATCH(J23,Tableaux!$B$6:$B$21,0))),0, INDEX(Tableaux!$C$6:$C$21,MATCH(J23,Tableaux!$B$6:$B$21,0)))</f>
        <v>0</v>
      </c>
      <c r="V23" s="131">
        <f t="shared" si="3"/>
        <v>0</v>
      </c>
      <c r="W23" s="189">
        <f t="shared" si="4"/>
        <v>0</v>
      </c>
      <c r="X23" s="137"/>
      <c r="Y23" s="138"/>
      <c r="Z23" s="138"/>
      <c r="AA23" s="138"/>
      <c r="AB23" s="138"/>
      <c r="AC23" s="138"/>
      <c r="AD23" s="139"/>
    </row>
    <row r="24" spans="1:30" x14ac:dyDescent="0.25">
      <c r="A24" s="244" t="s">
        <v>139</v>
      </c>
      <c r="B24" s="236"/>
      <c r="C24" s="237"/>
      <c r="D24" s="237"/>
      <c r="E24" s="237"/>
      <c r="F24" s="237"/>
      <c r="G24" s="238"/>
      <c r="H24" s="229">
        <f t="shared" si="6"/>
        <v>0</v>
      </c>
      <c r="I24" s="226"/>
      <c r="J24" s="226"/>
      <c r="K24" s="136"/>
      <c r="L24" s="250"/>
      <c r="M24" s="140"/>
      <c r="N24" s="118"/>
      <c r="O24" s="192">
        <f t="array" ref="O24">INDEX(Tableaux!$H$4:$H$112,MATCH(MIN(ABS(H24-Tableaux!$H$4:$H$112)),ABS(H24-Tableaux!$H$4:$H$112),0))</f>
        <v>0.01</v>
      </c>
      <c r="P24" s="192">
        <f>INDEX(Tableaux!$I$4:$I$112,MATCH(O24,Tableaux!$H$4:$H$112,0))</f>
        <v>0</v>
      </c>
      <c r="Q24" s="218">
        <f t="shared" si="0"/>
        <v>0</v>
      </c>
      <c r="R24" s="128">
        <f t="shared" si="5"/>
        <v>0</v>
      </c>
      <c r="S24" s="218">
        <f t="shared" si="1"/>
        <v>0</v>
      </c>
      <c r="T24" s="189">
        <f t="shared" si="2"/>
        <v>0</v>
      </c>
      <c r="U24" s="128">
        <f>IF(ISNA(INDEX(Tableaux!$C$6:$C$21,MATCH(J24,Tableaux!$B$6:$B$21,0))),0, INDEX(Tableaux!$C$6:$C$21,MATCH(J24,Tableaux!$B$6:$B$21,0)))</f>
        <v>0</v>
      </c>
      <c r="V24" s="131">
        <f t="shared" si="3"/>
        <v>0</v>
      </c>
      <c r="W24" s="189">
        <f t="shared" si="4"/>
        <v>0</v>
      </c>
      <c r="X24" s="137"/>
      <c r="Y24" s="138"/>
      <c r="Z24" s="138"/>
      <c r="AA24" s="138"/>
      <c r="AB24" s="138"/>
      <c r="AC24" s="138"/>
      <c r="AD24" s="139"/>
    </row>
    <row r="25" spans="1:30" x14ac:dyDescent="0.25">
      <c r="A25" s="243" t="s">
        <v>139</v>
      </c>
      <c r="B25" s="233"/>
      <c r="C25" s="79"/>
      <c r="D25" s="79"/>
      <c r="E25" s="79"/>
      <c r="F25" s="79"/>
      <c r="G25" s="217"/>
      <c r="H25" s="229">
        <f t="shared" si="6"/>
        <v>0</v>
      </c>
      <c r="I25" s="79"/>
      <c r="J25" s="79"/>
      <c r="K25" s="136"/>
      <c r="L25" s="250"/>
      <c r="M25" s="140"/>
      <c r="N25" s="118"/>
      <c r="O25" s="192">
        <f t="array" ref="O25">INDEX(Tableaux!$H$4:$H$112,MATCH(MIN(ABS(H25-Tableaux!$H$4:$H$112)),ABS(H25-Tableaux!$H$4:$H$112),0))</f>
        <v>0.01</v>
      </c>
      <c r="P25" s="192">
        <f>INDEX(Tableaux!$I$4:$I$112,MATCH(O25,Tableaux!$H$4:$H$112,0))</f>
        <v>0</v>
      </c>
      <c r="Q25" s="218">
        <f t="shared" si="0"/>
        <v>0</v>
      </c>
      <c r="R25" s="128">
        <f t="shared" si="5"/>
        <v>0</v>
      </c>
      <c r="S25" s="218">
        <f t="shared" si="1"/>
        <v>0</v>
      </c>
      <c r="T25" s="189">
        <f t="shared" si="2"/>
        <v>0</v>
      </c>
      <c r="U25" s="128">
        <f>IF(ISNA(INDEX(Tableaux!$C$6:$C$21,MATCH(J25,Tableaux!$B$6:$B$21,0))),0, INDEX(Tableaux!$C$6:$C$21,MATCH(J25,Tableaux!$B$6:$B$21,0)))</f>
        <v>0</v>
      </c>
      <c r="V25" s="131">
        <f t="shared" si="3"/>
        <v>0</v>
      </c>
      <c r="W25" s="189">
        <f t="shared" si="4"/>
        <v>0</v>
      </c>
      <c r="X25" s="137"/>
      <c r="Y25" s="138"/>
      <c r="Z25" s="138"/>
      <c r="AA25" s="138"/>
      <c r="AB25" s="138"/>
      <c r="AC25" s="138"/>
      <c r="AD25" s="139"/>
    </row>
    <row r="26" spans="1:30" x14ac:dyDescent="0.25">
      <c r="A26" s="243" t="s">
        <v>139</v>
      </c>
      <c r="B26" s="233"/>
      <c r="C26" s="79"/>
      <c r="D26" s="79"/>
      <c r="E26" s="79"/>
      <c r="F26" s="79"/>
      <c r="G26" s="217"/>
      <c r="H26" s="229">
        <f t="shared" si="6"/>
        <v>0</v>
      </c>
      <c r="I26" s="79"/>
      <c r="J26" s="79"/>
      <c r="K26" s="136"/>
      <c r="L26" s="250"/>
      <c r="M26" s="140"/>
      <c r="N26" s="118"/>
      <c r="O26" s="192">
        <f t="array" ref="O26">INDEX(Tableaux!$H$4:$H$112,MATCH(MIN(ABS(H26-Tableaux!$H$4:$H$112)),ABS(H26-Tableaux!$H$4:$H$112),0))</f>
        <v>0.01</v>
      </c>
      <c r="P26" s="192">
        <f>INDEX(Tableaux!$I$4:$I$112,MATCH(O26,Tableaux!$H$4:$H$112,0))</f>
        <v>0</v>
      </c>
      <c r="Q26" s="218">
        <f t="shared" si="0"/>
        <v>0</v>
      </c>
      <c r="R26" s="128">
        <f t="shared" si="5"/>
        <v>0</v>
      </c>
      <c r="S26" s="218">
        <f t="shared" si="1"/>
        <v>0</v>
      </c>
      <c r="T26" s="189">
        <f t="shared" si="2"/>
        <v>0</v>
      </c>
      <c r="U26" s="128">
        <f>IF(ISNA(INDEX(Tableaux!$C$6:$C$21,MATCH(J26,Tableaux!$B$6:$B$21,0))),0, INDEX(Tableaux!$C$6:$C$21,MATCH(J26,Tableaux!$B$6:$B$21,0)))</f>
        <v>0</v>
      </c>
      <c r="V26" s="131">
        <f t="shared" si="3"/>
        <v>0</v>
      </c>
      <c r="W26" s="189">
        <f t="shared" si="4"/>
        <v>0</v>
      </c>
      <c r="X26" s="137"/>
      <c r="Y26" s="138"/>
      <c r="Z26" s="138"/>
      <c r="AA26" s="138"/>
      <c r="AB26" s="138"/>
      <c r="AC26" s="138"/>
      <c r="AD26" s="139"/>
    </row>
    <row r="27" spans="1:30" x14ac:dyDescent="0.25">
      <c r="A27" s="241" t="s">
        <v>139</v>
      </c>
      <c r="B27" s="233"/>
      <c r="C27" s="79"/>
      <c r="D27" s="79"/>
      <c r="E27" s="79"/>
      <c r="F27" s="79"/>
      <c r="G27" s="217"/>
      <c r="H27" s="229">
        <f t="shared" si="6"/>
        <v>0</v>
      </c>
      <c r="I27" s="79"/>
      <c r="J27" s="79"/>
      <c r="K27" s="136"/>
      <c r="L27" s="250"/>
      <c r="M27" s="140"/>
      <c r="N27" s="118"/>
      <c r="O27" s="192">
        <f t="array" ref="O27">INDEX(Tableaux!$H$4:$H$112,MATCH(MIN(ABS(H27-Tableaux!$H$4:$H$112)),ABS(H27-Tableaux!$H$4:$H$112),0))</f>
        <v>0.01</v>
      </c>
      <c r="P27" s="192">
        <f>INDEX(Tableaux!$I$4:$I$112,MATCH(O27,Tableaux!$H$4:$H$112,0))</f>
        <v>0</v>
      </c>
      <c r="Q27" s="218">
        <f t="shared" si="0"/>
        <v>0</v>
      </c>
      <c r="R27" s="128">
        <f t="shared" si="5"/>
        <v>0</v>
      </c>
      <c r="S27" s="218">
        <f t="shared" si="1"/>
        <v>0</v>
      </c>
      <c r="T27" s="189">
        <f t="shared" si="2"/>
        <v>0</v>
      </c>
      <c r="U27" s="128">
        <f>IF(ISNA(INDEX(Tableaux!$C$6:$C$21,MATCH(J27,Tableaux!$B$6:$B$21,0))),0, INDEX(Tableaux!$C$6:$C$21,MATCH(J27,Tableaux!$B$6:$B$21,0)))</f>
        <v>0</v>
      </c>
      <c r="V27" s="131">
        <f t="shared" si="3"/>
        <v>0</v>
      </c>
      <c r="W27" s="189">
        <f t="shared" si="4"/>
        <v>0</v>
      </c>
      <c r="X27" s="137"/>
      <c r="Y27" s="138"/>
      <c r="Z27" s="138"/>
      <c r="AA27" s="138"/>
      <c r="AB27" s="138"/>
      <c r="AC27" s="138"/>
      <c r="AD27" s="139"/>
    </row>
    <row r="28" spans="1:30" x14ac:dyDescent="0.25">
      <c r="A28" s="241" t="s">
        <v>139</v>
      </c>
      <c r="B28" s="233"/>
      <c r="C28" s="79"/>
      <c r="D28" s="79"/>
      <c r="E28" s="79"/>
      <c r="F28" s="79"/>
      <c r="G28" s="217"/>
      <c r="H28" s="229">
        <f t="shared" si="6"/>
        <v>0</v>
      </c>
      <c r="I28" s="79"/>
      <c r="J28" s="79"/>
      <c r="K28" s="136"/>
      <c r="L28" s="250"/>
      <c r="M28" s="140"/>
      <c r="N28" s="118"/>
      <c r="O28" s="192">
        <f t="array" ref="O28">INDEX(Tableaux!$H$4:$H$112,MATCH(MIN(ABS(H28-Tableaux!$H$4:$H$112)),ABS(H28-Tableaux!$H$4:$H$112),0))</f>
        <v>0.01</v>
      </c>
      <c r="P28" s="192">
        <f>INDEX(Tableaux!$I$4:$I$112,MATCH(O28,Tableaux!$H$4:$H$112,0))</f>
        <v>0</v>
      </c>
      <c r="Q28" s="218">
        <f t="shared" si="0"/>
        <v>0</v>
      </c>
      <c r="R28" s="128">
        <f t="shared" si="5"/>
        <v>0</v>
      </c>
      <c r="S28" s="218">
        <f t="shared" si="1"/>
        <v>0</v>
      </c>
      <c r="T28" s="189">
        <f t="shared" si="2"/>
        <v>0</v>
      </c>
      <c r="U28" s="128">
        <f>IF(ISNA(INDEX(Tableaux!$C$6:$C$21,MATCH(J28,Tableaux!$B$6:$B$21,0))),0, INDEX(Tableaux!$C$6:$C$21,MATCH(J28,Tableaux!$B$6:$B$21,0)))</f>
        <v>0</v>
      </c>
      <c r="V28" s="131">
        <f t="shared" si="3"/>
        <v>0</v>
      </c>
      <c r="W28" s="189">
        <f t="shared" si="4"/>
        <v>0</v>
      </c>
      <c r="X28" s="137"/>
      <c r="Y28" s="138"/>
      <c r="Z28" s="138"/>
      <c r="AA28" s="138"/>
      <c r="AB28" s="138"/>
      <c r="AC28" s="138"/>
      <c r="AD28" s="139"/>
    </row>
    <row r="29" spans="1:30" x14ac:dyDescent="0.25">
      <c r="A29" s="241" t="s">
        <v>139</v>
      </c>
      <c r="B29" s="233"/>
      <c r="C29" s="79"/>
      <c r="D29" s="79"/>
      <c r="E29" s="79"/>
      <c r="F29" s="79"/>
      <c r="G29" s="217"/>
      <c r="H29" s="229">
        <f t="shared" si="6"/>
        <v>0</v>
      </c>
      <c r="I29" s="79"/>
      <c r="J29" s="79"/>
      <c r="K29" s="136"/>
      <c r="L29" s="250"/>
      <c r="M29" s="140"/>
      <c r="N29" s="118"/>
      <c r="O29" s="192">
        <f t="array" ref="O29">INDEX(Tableaux!$H$4:$H$112,MATCH(MIN(ABS(H29-Tableaux!$H$4:$H$112)),ABS(H29-Tableaux!$H$4:$H$112),0))</f>
        <v>0.01</v>
      </c>
      <c r="P29" s="192">
        <f>INDEX(Tableaux!$I$4:$I$112,MATCH(O29,Tableaux!$H$4:$H$112,0))</f>
        <v>0</v>
      </c>
      <c r="Q29" s="218">
        <f t="shared" si="0"/>
        <v>0</v>
      </c>
      <c r="R29" s="128">
        <f t="shared" si="5"/>
        <v>0</v>
      </c>
      <c r="S29" s="218">
        <f t="shared" si="1"/>
        <v>0</v>
      </c>
      <c r="T29" s="189">
        <f t="shared" si="2"/>
        <v>0</v>
      </c>
      <c r="U29" s="128">
        <f>IF(ISNA(INDEX(Tableaux!$C$6:$C$21,MATCH(J29,Tableaux!$B$6:$B$21,0))),0, INDEX(Tableaux!$C$6:$C$21,MATCH(J29,Tableaux!$B$6:$B$21,0)))</f>
        <v>0</v>
      </c>
      <c r="V29" s="131">
        <f t="shared" si="3"/>
        <v>0</v>
      </c>
      <c r="W29" s="189">
        <f t="shared" si="4"/>
        <v>0</v>
      </c>
      <c r="X29" s="137"/>
      <c r="Y29" s="138"/>
      <c r="Z29" s="138"/>
      <c r="AA29" s="138"/>
      <c r="AB29" s="138"/>
      <c r="AC29" s="138"/>
      <c r="AD29" s="139"/>
    </row>
    <row r="30" spans="1:30" x14ac:dyDescent="0.25">
      <c r="A30" s="242" t="s">
        <v>139</v>
      </c>
      <c r="B30" s="232"/>
      <c r="C30" s="228"/>
      <c r="D30" s="228"/>
      <c r="E30" s="228"/>
      <c r="F30" s="228"/>
      <c r="G30" s="229"/>
      <c r="H30" s="229">
        <f t="shared" si="6"/>
        <v>0</v>
      </c>
      <c r="I30" s="79"/>
      <c r="J30" s="79"/>
      <c r="K30" s="136"/>
      <c r="L30" s="250"/>
      <c r="M30" s="140"/>
      <c r="N30" s="118"/>
      <c r="O30" s="192">
        <f t="array" ref="O30">INDEX(Tableaux!$H$4:$H$112,MATCH(MIN(ABS(H30-Tableaux!$H$4:$H$112)),ABS(H30-Tableaux!$H$4:$H$112),0))</f>
        <v>0.01</v>
      </c>
      <c r="P30" s="192">
        <f>INDEX(Tableaux!$I$4:$I$112,MATCH(O30,Tableaux!$H$4:$H$112,0))</f>
        <v>0</v>
      </c>
      <c r="Q30" s="218">
        <f t="shared" si="0"/>
        <v>0</v>
      </c>
      <c r="R30" s="128">
        <f t="shared" si="5"/>
        <v>0</v>
      </c>
      <c r="S30" s="218">
        <f t="shared" si="1"/>
        <v>0</v>
      </c>
      <c r="T30" s="189">
        <f t="shared" si="2"/>
        <v>0</v>
      </c>
      <c r="U30" s="128">
        <f>IF(ISNA(INDEX(Tableaux!$C$6:$C$21,MATCH(J30,Tableaux!$B$6:$B$21,0))),0, INDEX(Tableaux!$C$6:$C$21,MATCH(J30,Tableaux!$B$6:$B$21,0)))</f>
        <v>0</v>
      </c>
      <c r="V30" s="131">
        <f t="shared" si="3"/>
        <v>0</v>
      </c>
      <c r="W30" s="189">
        <f t="shared" si="4"/>
        <v>0</v>
      </c>
      <c r="X30" s="137"/>
      <c r="Y30" s="138"/>
      <c r="Z30" s="138"/>
      <c r="AA30" s="138"/>
      <c r="AB30" s="138"/>
      <c r="AC30" s="138"/>
      <c r="AD30" s="139"/>
    </row>
    <row r="31" spans="1:30" x14ac:dyDescent="0.25">
      <c r="A31" s="241" t="s">
        <v>139</v>
      </c>
      <c r="B31" s="233"/>
      <c r="C31" s="79"/>
      <c r="D31" s="79"/>
      <c r="E31" s="79"/>
      <c r="F31" s="79"/>
      <c r="G31" s="217"/>
      <c r="H31" s="229">
        <f t="shared" si="6"/>
        <v>0</v>
      </c>
      <c r="I31" s="79"/>
      <c r="J31" s="79"/>
      <c r="K31" s="136"/>
      <c r="L31" s="250"/>
      <c r="M31" s="140"/>
      <c r="N31" s="118"/>
      <c r="O31" s="192">
        <f t="array" ref="O31">INDEX(Tableaux!$H$4:$H$112,MATCH(MIN(ABS(H31-Tableaux!$H$4:$H$112)),ABS(H31-Tableaux!$H$4:$H$112),0))</f>
        <v>0.01</v>
      </c>
      <c r="P31" s="192">
        <f>INDEX(Tableaux!$I$4:$I$112,MATCH(O31,Tableaux!$H$4:$H$112,0))</f>
        <v>0</v>
      </c>
      <c r="Q31" s="218">
        <f t="shared" si="0"/>
        <v>0</v>
      </c>
      <c r="R31" s="128">
        <f t="shared" si="5"/>
        <v>0</v>
      </c>
      <c r="S31" s="218">
        <f t="shared" si="1"/>
        <v>0</v>
      </c>
      <c r="T31" s="189">
        <f t="shared" si="2"/>
        <v>0</v>
      </c>
      <c r="U31" s="128">
        <f>IF(ISNA(INDEX(Tableaux!$C$6:$C$21,MATCH(J31,Tableaux!$B$6:$B$21,0))),0, INDEX(Tableaux!$C$6:$C$21,MATCH(J31,Tableaux!$B$6:$B$21,0)))</f>
        <v>0</v>
      </c>
      <c r="V31" s="131">
        <f t="shared" si="3"/>
        <v>0</v>
      </c>
      <c r="W31" s="189">
        <f t="shared" si="4"/>
        <v>0</v>
      </c>
      <c r="X31" s="137"/>
      <c r="Y31" s="138"/>
      <c r="Z31" s="138"/>
      <c r="AA31" s="138"/>
      <c r="AB31" s="138"/>
      <c r="AC31" s="138"/>
      <c r="AD31" s="139"/>
    </row>
    <row r="32" spans="1:30" x14ac:dyDescent="0.25">
      <c r="A32" s="241" t="s">
        <v>139</v>
      </c>
      <c r="B32" s="233"/>
      <c r="C32" s="79"/>
      <c r="D32" s="79"/>
      <c r="E32" s="79"/>
      <c r="F32" s="79"/>
      <c r="G32" s="217"/>
      <c r="H32" s="229">
        <f t="shared" si="6"/>
        <v>0</v>
      </c>
      <c r="I32" s="79"/>
      <c r="J32" s="79"/>
      <c r="K32" s="136"/>
      <c r="L32" s="250"/>
      <c r="M32" s="140"/>
      <c r="N32" s="118"/>
      <c r="O32" s="192">
        <f t="array" ref="O32">INDEX(Tableaux!$H$4:$H$112,MATCH(MIN(ABS(H32-Tableaux!$H$4:$H$112)),ABS(H32-Tableaux!$H$4:$H$112),0))</f>
        <v>0.01</v>
      </c>
      <c r="P32" s="192">
        <f>INDEX(Tableaux!$I$4:$I$112,MATCH(O32,Tableaux!$H$4:$H$112,0))</f>
        <v>0</v>
      </c>
      <c r="Q32" s="218">
        <f t="shared" si="0"/>
        <v>0</v>
      </c>
      <c r="R32" s="128">
        <f t="shared" si="5"/>
        <v>0</v>
      </c>
      <c r="S32" s="218">
        <f t="shared" si="1"/>
        <v>0</v>
      </c>
      <c r="T32" s="189">
        <f t="shared" si="2"/>
        <v>0</v>
      </c>
      <c r="U32" s="128">
        <f>IF(ISNA(INDEX(Tableaux!$C$6:$C$21,MATCH(J32,Tableaux!$B$6:$B$21,0))),0, INDEX(Tableaux!$C$6:$C$21,MATCH(J32,Tableaux!$B$6:$B$21,0)))</f>
        <v>0</v>
      </c>
      <c r="V32" s="131">
        <f t="shared" si="3"/>
        <v>0</v>
      </c>
      <c r="W32" s="189">
        <f t="shared" si="4"/>
        <v>0</v>
      </c>
      <c r="X32" s="137"/>
      <c r="Y32" s="138"/>
      <c r="Z32" s="138"/>
      <c r="AA32" s="138"/>
      <c r="AB32" s="138"/>
      <c r="AC32" s="138"/>
      <c r="AD32" s="139"/>
    </row>
    <row r="33" spans="1:30" x14ac:dyDescent="0.25">
      <c r="A33" s="241" t="s">
        <v>139</v>
      </c>
      <c r="B33" s="233"/>
      <c r="C33" s="79"/>
      <c r="D33" s="79"/>
      <c r="E33" s="79"/>
      <c r="F33" s="79"/>
      <c r="G33" s="217"/>
      <c r="H33" s="229">
        <f>CalculPoids(G33,D33,$Q$7)</f>
        <v>0</v>
      </c>
      <c r="I33" s="79"/>
      <c r="J33" s="79"/>
      <c r="K33" s="136"/>
      <c r="L33" s="250"/>
      <c r="M33" s="140"/>
      <c r="N33" s="118"/>
      <c r="O33" s="192">
        <f t="array" ref="O33">INDEX(Tableaux!$H$4:$H$112,MATCH(MIN(ABS(H33-Tableaux!$H$4:$H$112)),ABS(H33-Tableaux!$H$4:$H$112),0))</f>
        <v>0.01</v>
      </c>
      <c r="P33" s="192">
        <f>INDEX(Tableaux!$I$4:$I$112,MATCH(O33,Tableaux!$H$4:$H$112,0))</f>
        <v>0</v>
      </c>
      <c r="Q33" s="218">
        <f t="shared" si="0"/>
        <v>0</v>
      </c>
      <c r="R33" s="128">
        <f t="shared" si="5"/>
        <v>0</v>
      </c>
      <c r="S33" s="218">
        <f t="shared" si="1"/>
        <v>0</v>
      </c>
      <c r="T33" s="189">
        <f t="shared" si="2"/>
        <v>0</v>
      </c>
      <c r="U33" s="128">
        <f>IF(ISNA(INDEX(Tableaux!$C$6:$C$21,MATCH(J33,Tableaux!$B$6:$B$21,0))),0, INDEX(Tableaux!$C$6:$C$21,MATCH(J33,Tableaux!$B$6:$B$21,0)))</f>
        <v>0</v>
      </c>
      <c r="V33" s="131">
        <f t="shared" si="3"/>
        <v>0</v>
      </c>
      <c r="W33" s="189">
        <f t="shared" si="4"/>
        <v>0</v>
      </c>
      <c r="X33" s="137"/>
      <c r="Y33" s="138"/>
      <c r="Z33" s="138"/>
      <c r="AA33" s="138"/>
      <c r="AB33" s="138"/>
      <c r="AC33" s="138"/>
      <c r="AD33" s="139"/>
    </row>
    <row r="34" spans="1:30" x14ac:dyDescent="0.25">
      <c r="A34" s="241" t="s">
        <v>139</v>
      </c>
      <c r="B34" s="233"/>
      <c r="C34" s="79"/>
      <c r="D34" s="79"/>
      <c r="E34" s="79"/>
      <c r="F34" s="79"/>
      <c r="G34" s="217"/>
      <c r="H34" s="229">
        <f t="shared" ref="H34:H37" si="7">CalculPoids(G34,D34,$Q$7)</f>
        <v>0</v>
      </c>
      <c r="I34" s="79"/>
      <c r="J34" s="79"/>
      <c r="K34" s="136"/>
      <c r="L34" s="250"/>
      <c r="M34" s="140"/>
      <c r="N34" s="118"/>
      <c r="O34" s="192">
        <f t="array" ref="O34">INDEX(Tableaux!$H$4:$H$112,MATCH(MIN(ABS(H34-Tableaux!$H$4:$H$112)),ABS(H34-Tableaux!$H$4:$H$112),0))</f>
        <v>0.01</v>
      </c>
      <c r="P34" s="192">
        <f>INDEX(Tableaux!$I$4:$I$112,MATCH(O34,Tableaux!$H$4:$H$112,0))</f>
        <v>0</v>
      </c>
      <c r="Q34" s="218">
        <f t="shared" si="0"/>
        <v>0</v>
      </c>
      <c r="R34" s="128">
        <f t="shared" si="5"/>
        <v>0</v>
      </c>
      <c r="S34" s="218">
        <f t="shared" si="1"/>
        <v>0</v>
      </c>
      <c r="T34" s="189">
        <f t="shared" si="2"/>
        <v>0</v>
      </c>
      <c r="U34" s="128">
        <f>IF(ISNA(INDEX(Tableaux!$C$6:$C$21,MATCH(J34,Tableaux!$B$6:$B$21,0))),0, INDEX(Tableaux!$C$6:$C$21,MATCH(J34,Tableaux!$B$6:$B$21,0)))</f>
        <v>0</v>
      </c>
      <c r="V34" s="131">
        <f t="shared" si="3"/>
        <v>0</v>
      </c>
      <c r="W34" s="189">
        <f t="shared" si="4"/>
        <v>0</v>
      </c>
      <c r="X34" s="137"/>
      <c r="Y34" s="138"/>
      <c r="Z34" s="138"/>
      <c r="AA34" s="138"/>
      <c r="AB34" s="138"/>
      <c r="AC34" s="138"/>
      <c r="AD34" s="139"/>
    </row>
    <row r="35" spans="1:30" x14ac:dyDescent="0.25">
      <c r="A35" s="241" t="s">
        <v>139</v>
      </c>
      <c r="B35" s="233"/>
      <c r="C35" s="79"/>
      <c r="D35" s="79"/>
      <c r="E35" s="79"/>
      <c r="F35" s="79"/>
      <c r="G35" s="217"/>
      <c r="H35" s="229">
        <f t="shared" si="7"/>
        <v>0</v>
      </c>
      <c r="I35" s="79"/>
      <c r="J35" s="79"/>
      <c r="K35" s="136"/>
      <c r="L35" s="250"/>
      <c r="M35" s="140"/>
      <c r="N35" s="118"/>
      <c r="O35" s="192">
        <f t="array" ref="O35">INDEX(Tableaux!$H$4:$H$112,MATCH(MIN(ABS(H35-Tableaux!$H$4:$H$112)),ABS(H35-Tableaux!$H$4:$H$112),0))</f>
        <v>0.01</v>
      </c>
      <c r="P35" s="192">
        <f>INDEX(Tableaux!$I$4:$I$112,MATCH(O35,Tableaux!$H$4:$H$112,0))</f>
        <v>0</v>
      </c>
      <c r="Q35" s="218">
        <f t="shared" si="0"/>
        <v>0</v>
      </c>
      <c r="R35" s="128">
        <f t="shared" si="5"/>
        <v>0</v>
      </c>
      <c r="S35" s="218">
        <f t="shared" si="1"/>
        <v>0</v>
      </c>
      <c r="T35" s="189">
        <f t="shared" si="2"/>
        <v>0</v>
      </c>
      <c r="U35" s="128">
        <f>IF(ISNA(INDEX(Tableaux!$C$6:$C$21,MATCH(J35,Tableaux!$B$6:$B$21,0))),0, INDEX(Tableaux!$C$6:$C$21,MATCH(J35,Tableaux!$B$6:$B$21,0)))</f>
        <v>0</v>
      </c>
      <c r="V35" s="131">
        <f t="shared" si="3"/>
        <v>0</v>
      </c>
      <c r="W35" s="189">
        <f t="shared" si="4"/>
        <v>0</v>
      </c>
      <c r="X35" s="137"/>
      <c r="Y35" s="138"/>
      <c r="Z35" s="138"/>
      <c r="AA35" s="138"/>
      <c r="AB35" s="138"/>
      <c r="AC35" s="138"/>
      <c r="AD35" s="139"/>
    </row>
    <row r="36" spans="1:30" x14ac:dyDescent="0.25">
      <c r="A36" s="241" t="s">
        <v>139</v>
      </c>
      <c r="B36" s="233"/>
      <c r="C36" s="79"/>
      <c r="D36" s="79"/>
      <c r="E36" s="79"/>
      <c r="F36" s="79"/>
      <c r="G36" s="217"/>
      <c r="H36" s="229">
        <f t="shared" si="7"/>
        <v>0</v>
      </c>
      <c r="I36" s="79"/>
      <c r="J36" s="79"/>
      <c r="K36" s="136"/>
      <c r="L36" s="250"/>
      <c r="M36" s="140"/>
      <c r="N36" s="118"/>
      <c r="O36" s="192">
        <f t="array" ref="O36">INDEX(Tableaux!$H$4:$H$112,MATCH(MIN(ABS(H36-Tableaux!$H$4:$H$112)),ABS(H36-Tableaux!$H$4:$H$112),0))</f>
        <v>0.01</v>
      </c>
      <c r="P36" s="192">
        <f>INDEX(Tableaux!$I$4:$I$112,MATCH(O36,Tableaux!$H$4:$H$112,0))</f>
        <v>0</v>
      </c>
      <c r="Q36" s="218">
        <f t="shared" si="0"/>
        <v>0</v>
      </c>
      <c r="R36" s="128">
        <f t="shared" si="5"/>
        <v>0</v>
      </c>
      <c r="S36" s="218">
        <f t="shared" si="1"/>
        <v>0</v>
      </c>
      <c r="T36" s="189">
        <f t="shared" si="2"/>
        <v>0</v>
      </c>
      <c r="U36" s="128">
        <f>IF(ISNA(INDEX(Tableaux!$C$6:$C$21,MATCH(J36,Tableaux!$B$6:$B$21,0))),0, INDEX(Tableaux!$C$6:$C$21,MATCH(J36,Tableaux!$B$6:$B$21,0)))</f>
        <v>0</v>
      </c>
      <c r="V36" s="131">
        <f t="shared" si="3"/>
        <v>0</v>
      </c>
      <c r="W36" s="189">
        <f t="shared" si="4"/>
        <v>0</v>
      </c>
      <c r="X36" s="137"/>
      <c r="Y36" s="138"/>
      <c r="Z36" s="138"/>
      <c r="AA36" s="138"/>
      <c r="AB36" s="138"/>
      <c r="AC36" s="138"/>
      <c r="AD36" s="139"/>
    </row>
    <row r="37" spans="1:30" ht="15.75" thickBot="1" x14ac:dyDescent="0.3">
      <c r="A37" s="245" t="s">
        <v>139</v>
      </c>
      <c r="B37" s="234"/>
      <c r="C37" s="227"/>
      <c r="D37" s="227"/>
      <c r="E37" s="227"/>
      <c r="F37" s="227"/>
      <c r="G37" s="235"/>
      <c r="H37" s="251">
        <f t="shared" si="7"/>
        <v>0</v>
      </c>
      <c r="I37" s="227"/>
      <c r="J37" s="227"/>
      <c r="K37" s="143"/>
      <c r="L37" s="250"/>
      <c r="M37" s="140"/>
      <c r="N37" s="118"/>
      <c r="O37" s="193">
        <f t="array" ref="O37">INDEX(Tableaux!$H$4:$H$112,MATCH(MIN(ABS(H37-Tableaux!$H$4:$H$112)),ABS(H37-Tableaux!$H$4:$H$112),0))</f>
        <v>0.01</v>
      </c>
      <c r="P37" s="221">
        <f>INDEX(Tableaux!$I$4:$I$112,MATCH(O37,Tableaux!$H$4:$H$112,0))</f>
        <v>0</v>
      </c>
      <c r="Q37" s="253">
        <f>H37*F37</f>
        <v>0</v>
      </c>
      <c r="R37" s="128">
        <f t="shared" si="5"/>
        <v>0</v>
      </c>
      <c r="S37" s="254">
        <f>I37*F37</f>
        <v>0</v>
      </c>
      <c r="T37" s="224">
        <f>S37*J37*$Q$7*J37/1000</f>
        <v>0</v>
      </c>
      <c r="U37" s="128">
        <f>IF(ISNA(INDEX(Tableaux!$C$6:$C$21,MATCH(J37,Tableaux!$B$6:$B$21,0))),0, INDEX(Tableaux!$C$6:$C$21,MATCH(J37,Tableaux!$B$6:$B$21,0)))</f>
        <v>0</v>
      </c>
      <c r="V37" s="253">
        <f>ROUND(S37*U37*K37,2)</f>
        <v>0</v>
      </c>
      <c r="W37" s="148">
        <f>F37*P37</f>
        <v>0</v>
      </c>
      <c r="X37" s="222"/>
      <c r="Y37" s="142"/>
      <c r="Z37" s="142"/>
      <c r="AA37" s="142"/>
      <c r="AB37" s="142"/>
      <c r="AC37" s="142"/>
      <c r="AD37" s="146"/>
    </row>
    <row r="38" spans="1:30" ht="15.75" thickBot="1" x14ac:dyDescent="0.3">
      <c r="A38" s="147"/>
      <c r="B38" s="147"/>
      <c r="C38" s="147"/>
      <c r="D38" s="313" t="s">
        <v>36</v>
      </c>
      <c r="E38" s="314"/>
      <c r="F38" s="148">
        <f>SUM(F12:F37)</f>
        <v>0</v>
      </c>
      <c r="G38" s="118"/>
      <c r="H38" s="118"/>
      <c r="I38" s="118"/>
      <c r="J38" s="118"/>
      <c r="K38" s="118"/>
      <c r="L38" s="118"/>
      <c r="M38" s="115"/>
      <c r="N38" s="118"/>
      <c r="O38" s="118"/>
      <c r="P38" s="118"/>
      <c r="Q38" s="148" t="s">
        <v>124</v>
      </c>
      <c r="R38" s="148" t="s">
        <v>125</v>
      </c>
      <c r="S38" s="148" t="s">
        <v>126</v>
      </c>
      <c r="T38" s="148" t="s">
        <v>127</v>
      </c>
      <c r="U38" s="115"/>
      <c r="V38" s="148" t="s">
        <v>132</v>
      </c>
      <c r="W38" s="223" t="s">
        <v>133</v>
      </c>
      <c r="X38" s="315" t="s">
        <v>136</v>
      </c>
      <c r="Y38" s="316"/>
      <c r="Z38" s="316"/>
      <c r="AA38" s="316"/>
      <c r="AB38" s="316"/>
      <c r="AC38" s="316"/>
      <c r="AD38" s="317"/>
    </row>
    <row r="39" spans="1:30" ht="15.75" thickBot="1" x14ac:dyDescent="0.3">
      <c r="A39" s="115"/>
      <c r="B39" s="115"/>
      <c r="C39" s="115"/>
      <c r="D39" s="318" t="s">
        <v>103</v>
      </c>
      <c r="E39" s="319"/>
      <c r="F39" s="230">
        <f>IF($C$8=0,0,F38/$C$8)</f>
        <v>0</v>
      </c>
      <c r="G39" s="240"/>
      <c r="H39" s="115"/>
      <c r="I39" s="115"/>
      <c r="J39" s="115"/>
      <c r="K39" s="115"/>
      <c r="L39" s="115"/>
      <c r="M39" s="115"/>
      <c r="N39" s="116"/>
      <c r="O39" s="116"/>
      <c r="P39" s="118"/>
      <c r="Q39" s="149">
        <f>SUM(Q11:Q37)</f>
        <v>0</v>
      </c>
      <c r="R39" s="149">
        <f>SUM(R11:R37)</f>
        <v>0</v>
      </c>
      <c r="S39" s="149">
        <f>SUM(S11:S37)</f>
        <v>0</v>
      </c>
      <c r="T39" s="149">
        <f>SUM(T11:T37)</f>
        <v>0</v>
      </c>
      <c r="U39" s="115"/>
      <c r="V39" s="252">
        <f t="shared" ref="V39:AD39" si="8">SUM(V11:V37)</f>
        <v>0</v>
      </c>
      <c r="W39" s="252">
        <f t="shared" si="8"/>
        <v>0</v>
      </c>
      <c r="X39" s="252">
        <f t="shared" si="8"/>
        <v>0</v>
      </c>
      <c r="Y39" s="252">
        <f t="shared" si="8"/>
        <v>0</v>
      </c>
      <c r="Z39" s="252">
        <f t="shared" si="8"/>
        <v>0</v>
      </c>
      <c r="AA39" s="252">
        <f t="shared" si="8"/>
        <v>0</v>
      </c>
      <c r="AB39" s="252">
        <f t="shared" si="8"/>
        <v>0</v>
      </c>
      <c r="AC39" s="252">
        <f t="shared" si="8"/>
        <v>0</v>
      </c>
      <c r="AD39" s="252">
        <f t="shared" si="8"/>
        <v>0</v>
      </c>
    </row>
    <row r="40" spans="1:30" ht="15.75" customHeight="1" thickBot="1" x14ac:dyDescent="0.3">
      <c r="A40" s="115"/>
      <c r="B40" s="115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  <c r="N40" s="116"/>
      <c r="O40" s="115"/>
      <c r="P40" s="115"/>
      <c r="Q40" s="149" t="s">
        <v>131</v>
      </c>
      <c r="R40" s="149" t="s">
        <v>130</v>
      </c>
      <c r="S40" s="149" t="s">
        <v>129</v>
      </c>
      <c r="T40" s="149" t="s">
        <v>128</v>
      </c>
      <c r="U40" s="115"/>
      <c r="V40" s="149" t="s">
        <v>135</v>
      </c>
      <c r="W40" s="183" t="s">
        <v>134</v>
      </c>
      <c r="X40" s="324" t="s">
        <v>137</v>
      </c>
      <c r="Y40" s="325"/>
      <c r="Z40" s="325"/>
      <c r="AA40" s="325"/>
      <c r="AB40" s="325"/>
      <c r="AC40" s="325"/>
      <c r="AD40" s="326"/>
    </row>
    <row r="41" spans="1:30" ht="15.75" thickBot="1" x14ac:dyDescent="0.3">
      <c r="A41" s="115"/>
      <c r="B41" s="327" t="s">
        <v>115</v>
      </c>
      <c r="C41" s="328"/>
      <c r="D41" s="329"/>
      <c r="E41" s="330"/>
      <c r="F41" s="115"/>
      <c r="G41" s="115"/>
      <c r="H41" s="115"/>
      <c r="I41" s="115"/>
      <c r="J41" s="115"/>
      <c r="K41" s="115"/>
      <c r="L41" s="115"/>
      <c r="M41" s="115"/>
      <c r="N41" s="116"/>
      <c r="O41" s="118"/>
      <c r="P41" s="115"/>
      <c r="Q41" s="149">
        <f>IF($C$8=0,0,ROUND(Q39/$C$8,2))</f>
        <v>0</v>
      </c>
      <c r="R41" s="149">
        <f>IF($C$8=0,0,ROUND(R39/$C$8,3))</f>
        <v>0</v>
      </c>
      <c r="S41" s="149">
        <f>IF($C$8=0,0,ROUND(S39/$C$8,2))</f>
        <v>0</v>
      </c>
      <c r="T41" s="149">
        <f>IF($C$8=0,0,ROUND(T39/$C$8,3))</f>
        <v>0</v>
      </c>
      <c r="U41" s="115"/>
      <c r="V41" s="252">
        <f t="shared" ref="V41:AD41" si="9">IF($C$8=0,0,ROUND(V39/$C$8,2))</f>
        <v>0</v>
      </c>
      <c r="W41" s="252">
        <f t="shared" si="9"/>
        <v>0</v>
      </c>
      <c r="X41" s="252">
        <f t="shared" si="9"/>
        <v>0</v>
      </c>
      <c r="Y41" s="252">
        <f t="shared" si="9"/>
        <v>0</v>
      </c>
      <c r="Z41" s="252">
        <f t="shared" si="9"/>
        <v>0</v>
      </c>
      <c r="AA41" s="252">
        <f t="shared" si="9"/>
        <v>0</v>
      </c>
      <c r="AB41" s="252">
        <f t="shared" si="9"/>
        <v>0</v>
      </c>
      <c r="AC41" s="252">
        <f t="shared" si="9"/>
        <v>0</v>
      </c>
      <c r="AD41" s="252">
        <f t="shared" si="9"/>
        <v>0</v>
      </c>
    </row>
    <row r="42" spans="1:30" ht="15.75" customHeight="1" thickBot="1" x14ac:dyDescent="0.35">
      <c r="A42" s="70"/>
      <c r="B42" s="331" t="s">
        <v>109</v>
      </c>
      <c r="C42" s="332"/>
      <c r="D42" s="109"/>
      <c r="E42" s="112">
        <f>D42*53.35</f>
        <v>0</v>
      </c>
      <c r="F42" s="70"/>
      <c r="G42" s="70"/>
      <c r="H42" s="70"/>
      <c r="I42" s="70"/>
      <c r="J42" s="70"/>
      <c r="K42" s="70"/>
      <c r="L42" s="70"/>
      <c r="M42" s="70"/>
      <c r="N42" s="69"/>
      <c r="O42" s="83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</row>
    <row r="43" spans="1:30" ht="19.5" thickBot="1" x14ac:dyDescent="0.35">
      <c r="A43" s="70"/>
      <c r="B43" s="309" t="s">
        <v>110</v>
      </c>
      <c r="C43" s="310"/>
      <c r="D43" s="110"/>
      <c r="E43" s="113">
        <f>D43*38.12</f>
        <v>0</v>
      </c>
      <c r="F43" s="70"/>
      <c r="G43" s="70"/>
      <c r="H43" s="70"/>
      <c r="I43" s="70"/>
      <c r="J43" s="70"/>
      <c r="K43" s="70"/>
      <c r="L43" s="70"/>
      <c r="M43" s="70"/>
      <c r="N43" s="69"/>
      <c r="O43" s="83"/>
      <c r="P43" s="70"/>
      <c r="Q43" s="70"/>
      <c r="R43" s="70"/>
      <c r="S43" s="70"/>
      <c r="T43" s="70"/>
      <c r="U43" s="84"/>
      <c r="V43" s="85" t="s">
        <v>123</v>
      </c>
      <c r="W43" s="85" t="s">
        <v>122</v>
      </c>
      <c r="X43" s="70"/>
      <c r="Y43" s="333" t="s">
        <v>121</v>
      </c>
      <c r="Z43" s="334"/>
      <c r="AA43" s="70"/>
      <c r="AB43" s="70"/>
    </row>
    <row r="44" spans="1:30" ht="19.5" thickBot="1" x14ac:dyDescent="0.35">
      <c r="A44" s="70"/>
      <c r="B44" s="309" t="s">
        <v>111</v>
      </c>
      <c r="C44" s="310"/>
      <c r="D44" s="110"/>
      <c r="E44" s="113">
        <f>D44*38.12</f>
        <v>0</v>
      </c>
      <c r="F44" s="70"/>
      <c r="G44" s="70"/>
      <c r="H44" s="70"/>
      <c r="I44" s="70"/>
      <c r="J44" s="70"/>
      <c r="K44" s="70"/>
      <c r="L44" s="70"/>
      <c r="M44" s="70"/>
      <c r="N44" s="69"/>
      <c r="O44" s="83"/>
      <c r="P44" s="70"/>
      <c r="Q44" s="70"/>
      <c r="R44" s="70"/>
      <c r="S44" s="70"/>
      <c r="T44" s="70"/>
      <c r="U44" s="85" t="s">
        <v>25</v>
      </c>
      <c r="V44" s="86">
        <f>SUM(V39:AD39)</f>
        <v>0</v>
      </c>
      <c r="W44" s="87">
        <f>IF($C$8=0,0,ROUND(V44/$C$8,3))</f>
        <v>0</v>
      </c>
      <c r="X44" s="70"/>
      <c r="Y44" s="311"/>
      <c r="Z44" s="312"/>
      <c r="AA44" s="70"/>
      <c r="AB44" s="70"/>
    </row>
    <row r="45" spans="1:30" ht="15.75" customHeight="1" thickBot="1" x14ac:dyDescent="0.35">
      <c r="A45" s="70"/>
      <c r="B45" s="309" t="s">
        <v>112</v>
      </c>
      <c r="C45" s="310"/>
      <c r="D45" s="110"/>
      <c r="E45" s="113">
        <f>D45*38.12</f>
        <v>0</v>
      </c>
      <c r="F45" s="70"/>
      <c r="G45" s="70"/>
      <c r="H45" s="70"/>
      <c r="I45" s="70"/>
      <c r="J45" s="70"/>
      <c r="K45" s="70"/>
      <c r="L45" s="70"/>
      <c r="M45" s="70"/>
      <c r="N45" s="72"/>
      <c r="O45" s="83"/>
      <c r="P45" s="70"/>
      <c r="Q45" s="70"/>
      <c r="R45" s="70"/>
      <c r="S45" s="70"/>
      <c r="T45" s="70"/>
      <c r="U45" s="84"/>
      <c r="V45" s="84"/>
      <c r="W45" s="84"/>
      <c r="X45" s="70"/>
      <c r="Y45" s="70"/>
      <c r="Z45" s="70"/>
      <c r="AA45" s="70"/>
      <c r="AB45" s="70"/>
    </row>
    <row r="46" spans="1:30" ht="15.75" customHeight="1" thickBot="1" x14ac:dyDescent="0.35">
      <c r="A46" s="70"/>
      <c r="B46" s="335" t="s">
        <v>113</v>
      </c>
      <c r="C46" s="336"/>
      <c r="D46" s="111"/>
      <c r="E46" s="114">
        <f>SUM(E42:E45)*0.5</f>
        <v>0</v>
      </c>
      <c r="F46" s="70"/>
      <c r="G46" s="70"/>
      <c r="H46" s="70"/>
      <c r="I46" s="70"/>
      <c r="J46" s="70"/>
      <c r="K46" s="70"/>
      <c r="L46" s="70"/>
      <c r="M46" s="70"/>
      <c r="N46" s="72"/>
      <c r="O46" s="83"/>
      <c r="P46" s="70"/>
      <c r="Q46" s="70"/>
      <c r="R46" s="70"/>
      <c r="S46" s="70"/>
      <c r="T46" s="70"/>
      <c r="U46" s="85" t="s">
        <v>106</v>
      </c>
      <c r="V46" s="88">
        <v>45</v>
      </c>
      <c r="W46" s="84"/>
      <c r="X46" s="70"/>
      <c r="Y46" s="70"/>
      <c r="Z46" s="70"/>
      <c r="AA46" s="70"/>
      <c r="AB46" s="70"/>
    </row>
    <row r="47" spans="1:30" ht="15.75" customHeight="1" thickBot="1" x14ac:dyDescent="0.35">
      <c r="A47" s="70"/>
      <c r="B47" s="337" t="s">
        <v>114</v>
      </c>
      <c r="C47" s="338"/>
      <c r="D47" s="89">
        <f>SUM(D42:D46)</f>
        <v>0</v>
      </c>
      <c r="E47" s="90">
        <f>SUM(E42:E46)</f>
        <v>0</v>
      </c>
      <c r="F47" s="70"/>
      <c r="G47" s="70"/>
      <c r="H47" s="70"/>
      <c r="I47" s="70"/>
      <c r="J47" s="70"/>
      <c r="K47" s="70"/>
      <c r="L47" s="70"/>
      <c r="M47" s="70"/>
      <c r="N47" s="72"/>
      <c r="O47" s="83"/>
      <c r="P47" s="70"/>
      <c r="Q47" s="70"/>
      <c r="R47" s="70"/>
      <c r="S47" s="70"/>
      <c r="T47" s="70"/>
      <c r="U47" s="65"/>
      <c r="V47" s="67"/>
      <c r="W47" s="84"/>
      <c r="X47" s="70"/>
      <c r="Y47" s="70"/>
      <c r="Z47" s="70"/>
      <c r="AA47" s="70"/>
      <c r="AB47" s="70"/>
    </row>
    <row r="48" spans="1:30" ht="15.75" customHeight="1" thickBot="1" x14ac:dyDescent="0.35">
      <c r="A48" s="70"/>
      <c r="B48" s="70"/>
      <c r="C48" s="70"/>
      <c r="D48" s="70"/>
      <c r="E48" s="70"/>
      <c r="F48" s="70"/>
      <c r="G48" s="70"/>
      <c r="H48" s="70"/>
      <c r="I48" s="70"/>
      <c r="J48" s="70"/>
      <c r="K48" s="70"/>
      <c r="L48" s="70"/>
      <c r="M48" s="70"/>
      <c r="N48" s="72"/>
      <c r="O48" s="70"/>
      <c r="P48" s="70"/>
      <c r="Q48" s="70"/>
      <c r="R48" s="70"/>
      <c r="S48" s="70"/>
      <c r="T48" s="69"/>
      <c r="U48" s="84"/>
      <c r="V48" s="85" t="s">
        <v>123</v>
      </c>
      <c r="W48" s="85" t="s">
        <v>122</v>
      </c>
      <c r="X48" s="70"/>
      <c r="Y48" s="333" t="s">
        <v>122</v>
      </c>
      <c r="Z48" s="334"/>
      <c r="AA48" s="70"/>
      <c r="AB48" s="70"/>
    </row>
    <row r="49" spans="1:28" ht="15.75" customHeight="1" thickBot="1" x14ac:dyDescent="0.35">
      <c r="A49" s="70"/>
      <c r="B49" s="70"/>
      <c r="C49" s="70"/>
      <c r="D49" s="70"/>
      <c r="E49" s="70"/>
      <c r="F49" s="70"/>
      <c r="G49" s="70"/>
      <c r="H49" s="70"/>
      <c r="I49" s="70"/>
      <c r="J49" s="70"/>
      <c r="K49" s="70"/>
      <c r="L49" s="70"/>
      <c r="M49" s="70"/>
      <c r="N49" s="72"/>
      <c r="O49" s="70"/>
      <c r="P49" s="70"/>
      <c r="Q49" s="70"/>
      <c r="R49" s="70"/>
      <c r="S49" s="70"/>
      <c r="T49" s="70"/>
      <c r="U49" s="162" t="s">
        <v>104</v>
      </c>
      <c r="V49" s="214">
        <f>V44*V46</f>
        <v>0</v>
      </c>
      <c r="W49" s="215">
        <f>IF($C$8=0,0,V49/$C$8)</f>
        <v>0</v>
      </c>
      <c r="X49" s="213"/>
      <c r="Y49" s="339">
        <f>Y44*V46</f>
        <v>0</v>
      </c>
      <c r="Z49" s="340"/>
      <c r="AA49" s="70"/>
      <c r="AB49" s="70"/>
    </row>
    <row r="50" spans="1:28" x14ac:dyDescent="0.25">
      <c r="A50" s="70"/>
      <c r="B50" s="70"/>
      <c r="C50" s="70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2"/>
      <c r="O50" s="70"/>
      <c r="P50" s="70"/>
      <c r="Q50" s="70"/>
      <c r="R50" s="70"/>
      <c r="S50" s="70"/>
      <c r="T50" s="70"/>
      <c r="AA50" s="70"/>
      <c r="AB50" s="70"/>
    </row>
    <row r="51" spans="1:28" ht="15.75" x14ac:dyDescent="0.25">
      <c r="A51" s="70"/>
      <c r="B51" s="91"/>
      <c r="C51" s="92"/>
      <c r="D51" s="93"/>
      <c r="E51" s="94"/>
      <c r="F51" s="94"/>
      <c r="G51" s="94"/>
      <c r="H51" s="91"/>
      <c r="I51" s="95"/>
      <c r="J51" s="93"/>
      <c r="K51" s="91"/>
      <c r="L51" s="91"/>
      <c r="M51" s="92"/>
      <c r="N51" s="97"/>
      <c r="O51" s="96"/>
      <c r="P51" s="96"/>
      <c r="Q51" s="70"/>
      <c r="R51" s="70"/>
      <c r="S51" s="70"/>
      <c r="T51" s="70"/>
      <c r="AA51" s="70"/>
      <c r="AB51" s="70"/>
    </row>
    <row r="52" spans="1:28" ht="18.75" x14ac:dyDescent="0.3">
      <c r="B52" s="51"/>
      <c r="C52" s="55"/>
      <c r="D52" s="51"/>
      <c r="E52" s="52"/>
      <c r="F52" s="52"/>
      <c r="G52" s="52"/>
      <c r="H52" s="54"/>
      <c r="I52" s="58"/>
      <c r="J52" s="51"/>
      <c r="K52" s="51"/>
      <c r="L52" s="51"/>
      <c r="M52" s="55"/>
      <c r="N52" s="57"/>
      <c r="O52" s="56"/>
      <c r="P52" s="56"/>
      <c r="U52" s="50"/>
      <c r="V52" s="50"/>
      <c r="W52" s="50"/>
    </row>
    <row r="53" spans="1:28" ht="18.75" x14ac:dyDescent="0.3">
      <c r="B53" s="51"/>
      <c r="C53" s="55"/>
      <c r="D53" s="51"/>
      <c r="E53" s="59"/>
      <c r="F53" s="59"/>
      <c r="G53" s="59"/>
      <c r="H53" s="54"/>
      <c r="I53" s="58"/>
      <c r="J53" s="51"/>
      <c r="K53" s="51"/>
      <c r="L53" s="51"/>
      <c r="M53" s="55"/>
      <c r="N53" s="57"/>
      <c r="O53" s="56"/>
      <c r="P53" s="56"/>
      <c r="T53" s="63"/>
      <c r="U53" s="64"/>
      <c r="V53" s="65"/>
      <c r="W53" s="65"/>
    </row>
    <row r="54" spans="1:28" ht="18.75" x14ac:dyDescent="0.25">
      <c r="B54" s="62"/>
      <c r="C54" s="55"/>
      <c r="D54" s="51"/>
      <c r="E54" s="60"/>
      <c r="F54" s="60"/>
      <c r="G54" s="60"/>
      <c r="H54" s="61"/>
      <c r="I54" s="51"/>
      <c r="J54" s="51"/>
      <c r="K54" s="62"/>
      <c r="L54" s="62"/>
      <c r="M54" s="55"/>
      <c r="N54" s="57"/>
      <c r="O54" s="56"/>
      <c r="P54" s="56"/>
      <c r="T54" s="63"/>
      <c r="U54" s="66"/>
      <c r="V54" s="67"/>
      <c r="W54" s="68"/>
    </row>
    <row r="55" spans="1:28" ht="15.75" x14ac:dyDescent="0.25">
      <c r="D55" s="51"/>
      <c r="N55" s="57"/>
      <c r="O55" s="56"/>
      <c r="P55" s="56"/>
      <c r="T55" s="63"/>
      <c r="U55" s="69"/>
      <c r="V55" s="69"/>
      <c r="W55" s="69"/>
    </row>
    <row r="56" spans="1:28" ht="15.75" x14ac:dyDescent="0.25"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7"/>
      <c r="O56" s="56"/>
      <c r="P56" s="56"/>
      <c r="T56" s="63"/>
      <c r="U56" s="63"/>
      <c r="V56" s="63"/>
      <c r="W56" s="63"/>
    </row>
    <row r="57" spans="1:28" ht="15.75" x14ac:dyDescent="0.25"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7"/>
      <c r="O57" s="56"/>
      <c r="P57" s="56"/>
    </row>
    <row r="58" spans="1:28" ht="15.75" x14ac:dyDescent="0.25"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7"/>
      <c r="O58" s="56"/>
      <c r="P58" s="56"/>
    </row>
    <row r="59" spans="1:28" x14ac:dyDescent="0.25">
      <c r="N59" s="4"/>
    </row>
    <row r="60" spans="1:28" x14ac:dyDescent="0.25">
      <c r="N60" s="4"/>
    </row>
    <row r="61" spans="1:28" x14ac:dyDescent="0.25">
      <c r="N61" s="4"/>
    </row>
    <row r="62" spans="1:28" x14ac:dyDescent="0.25">
      <c r="N62" s="4"/>
    </row>
  </sheetData>
  <mergeCells count="50">
    <mergeCell ref="B45:C45"/>
    <mergeCell ref="B46:C46"/>
    <mergeCell ref="B47:C47"/>
    <mergeCell ref="Y48:Z48"/>
    <mergeCell ref="Y49:Z49"/>
    <mergeCell ref="X40:AD40"/>
    <mergeCell ref="B41:E41"/>
    <mergeCell ref="B42:C42"/>
    <mergeCell ref="B43:C43"/>
    <mergeCell ref="Y43:Z43"/>
    <mergeCell ref="B44:C44"/>
    <mergeCell ref="Y44:Z44"/>
    <mergeCell ref="AB9:AB10"/>
    <mergeCell ref="AC9:AC10"/>
    <mergeCell ref="AD9:AD10"/>
    <mergeCell ref="D38:E38"/>
    <mergeCell ref="X38:AD38"/>
    <mergeCell ref="D39:E39"/>
    <mergeCell ref="V9:V10"/>
    <mergeCell ref="W9:W10"/>
    <mergeCell ref="X9:X10"/>
    <mergeCell ref="Y9:Y10"/>
    <mergeCell ref="Z9:Z10"/>
    <mergeCell ref="AA9:AA10"/>
    <mergeCell ref="P9:P10"/>
    <mergeCell ref="Q9:Q10"/>
    <mergeCell ref="R9:R10"/>
    <mergeCell ref="S9:S10"/>
    <mergeCell ref="T9:T10"/>
    <mergeCell ref="U9:U10"/>
    <mergeCell ref="G9:G10"/>
    <mergeCell ref="H9:H10"/>
    <mergeCell ref="I9:I10"/>
    <mergeCell ref="J9:J10"/>
    <mergeCell ref="K9:K10"/>
    <mergeCell ref="O9:O10"/>
    <mergeCell ref="E3:J4"/>
    <mergeCell ref="A7:B7"/>
    <mergeCell ref="D7:H7"/>
    <mergeCell ref="I7:J7"/>
    <mergeCell ref="A9:A10"/>
    <mergeCell ref="B9:B10"/>
    <mergeCell ref="C9:C10"/>
    <mergeCell ref="D9:D10"/>
    <mergeCell ref="E9:E10"/>
    <mergeCell ref="O7:P7"/>
    <mergeCell ref="A8:B8"/>
    <mergeCell ref="D8:H8"/>
    <mergeCell ref="I8:J8"/>
    <mergeCell ref="F9:F10"/>
  </mergeCells>
  <dataValidations count="1">
    <dataValidation type="list" allowBlank="1" showInputMessage="1" showErrorMessage="1" sqref="A11:A37">
      <formula1>Lot</formula1>
    </dataValidation>
  </dataValidations>
  <pageMargins left="0.2" right="0.19" top="0.47" bottom="0.42" header="0.2" footer="0.19"/>
  <pageSetup paperSize="9" scale="3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ouvelleFiche">
                <anchor moveWithCells="1" sizeWithCells="1">
                  <from>
                    <xdr:col>0</xdr:col>
                    <xdr:colOff>9525</xdr:colOff>
                    <xdr:row>0</xdr:row>
                    <xdr:rowOff>161925</xdr:rowOff>
                  </from>
                  <to>
                    <xdr:col>1</xdr:col>
                    <xdr:colOff>552450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opyLot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542925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FF0000"/>
  </sheetPr>
  <dimension ref="A1:AD82"/>
  <sheetViews>
    <sheetView workbookViewId="0">
      <selection activeCell="H22" sqref="H22"/>
    </sheetView>
  </sheetViews>
  <sheetFormatPr baseColWidth="10" defaultRowHeight="15" x14ac:dyDescent="0.25"/>
  <cols>
    <col min="1" max="1" width="7.140625" customWidth="1"/>
    <col min="2" max="2" width="14.5703125" customWidth="1"/>
    <col min="3" max="3" width="15.28515625" customWidth="1"/>
    <col min="4" max="4" width="9.42578125" bestFit="1" customWidth="1"/>
    <col min="5" max="5" width="14.140625" bestFit="1" customWidth="1"/>
    <col min="6" max="6" width="10.85546875" bestFit="1" customWidth="1"/>
    <col min="7" max="7" width="18.42578125" bestFit="1" customWidth="1"/>
    <col min="8" max="8" width="18.140625" customWidth="1"/>
    <col min="9" max="9" width="9.85546875" bestFit="1" customWidth="1"/>
    <col min="10" max="10" width="13.5703125" bestFit="1" customWidth="1"/>
    <col min="12" max="12" width="16" customWidth="1"/>
    <col min="13" max="13" width="16.5703125" bestFit="1" customWidth="1"/>
    <col min="15" max="15" width="17.140625" customWidth="1"/>
    <col min="16" max="16" width="16.28515625" bestFit="1" customWidth="1"/>
    <col min="17" max="17" width="18" bestFit="1" customWidth="1"/>
    <col min="18" max="18" width="19.28515625" bestFit="1" customWidth="1"/>
    <col min="19" max="19" width="29" bestFit="1" customWidth="1"/>
    <col min="20" max="20" width="25" bestFit="1" customWidth="1"/>
    <col min="21" max="21" width="32.5703125" bestFit="1" customWidth="1"/>
    <col min="22" max="22" width="24.5703125" bestFit="1" customWidth="1"/>
    <col min="23" max="23" width="22.42578125" bestFit="1" customWidth="1"/>
    <col min="24" max="24" width="12.85546875" bestFit="1" customWidth="1"/>
    <col min="25" max="25" width="11.5703125" bestFit="1" customWidth="1"/>
    <col min="26" max="26" width="12.85546875" bestFit="1" customWidth="1"/>
    <col min="27" max="27" width="13.140625" bestFit="1" customWidth="1"/>
    <col min="28" max="28" width="11.28515625" bestFit="1" customWidth="1"/>
    <col min="29" max="29" width="8.140625" bestFit="1" customWidth="1"/>
    <col min="30" max="30" width="8.85546875" bestFit="1" customWidth="1"/>
  </cols>
  <sheetData>
    <row r="1" spans="1:30" x14ac:dyDescent="0.25">
      <c r="A1" s="115"/>
      <c r="B1" s="115"/>
      <c r="C1" s="115"/>
      <c r="D1" s="115"/>
      <c r="E1" s="115"/>
      <c r="F1" s="115"/>
      <c r="G1" s="115"/>
      <c r="H1" s="115"/>
      <c r="I1" s="115"/>
      <c r="J1" s="115"/>
      <c r="K1" s="184"/>
      <c r="L1" s="184"/>
      <c r="M1" s="184"/>
      <c r="N1" s="116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</row>
    <row r="2" spans="1:30" ht="15" customHeight="1" thickBot="1" x14ac:dyDescent="0.3">
      <c r="A2" s="115"/>
      <c r="B2" s="117"/>
      <c r="C2" s="117"/>
      <c r="D2" s="117"/>
      <c r="E2" s="115"/>
      <c r="F2" s="115"/>
      <c r="G2" s="115"/>
      <c r="H2" s="115"/>
      <c r="I2" s="115"/>
      <c r="J2" s="115"/>
      <c r="K2" s="184"/>
      <c r="L2" s="184"/>
      <c r="M2" s="184"/>
      <c r="N2" s="116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1:30" ht="15.75" customHeight="1" x14ac:dyDescent="0.25">
      <c r="A3" s="115"/>
      <c r="B3" s="117"/>
      <c r="C3" s="117"/>
      <c r="D3" s="117"/>
      <c r="E3" s="355" t="s">
        <v>108</v>
      </c>
      <c r="F3" s="356"/>
      <c r="G3" s="356"/>
      <c r="H3" s="356"/>
      <c r="I3" s="357"/>
      <c r="J3" s="115"/>
      <c r="K3" s="184"/>
      <c r="L3" s="184"/>
      <c r="M3" s="184"/>
      <c r="N3" s="116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4" spans="1:30" ht="15.75" customHeight="1" thickBot="1" x14ac:dyDescent="0.3">
      <c r="A4" s="115"/>
      <c r="B4" s="115"/>
      <c r="C4" s="115"/>
      <c r="D4" s="115"/>
      <c r="E4" s="358"/>
      <c r="F4" s="359"/>
      <c r="G4" s="359"/>
      <c r="H4" s="359"/>
      <c r="I4" s="360"/>
      <c r="J4" s="115"/>
      <c r="K4" s="184"/>
      <c r="L4" s="184"/>
      <c r="M4" s="184"/>
      <c r="N4" s="116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5"/>
    </row>
    <row r="5" spans="1:30" x14ac:dyDescent="0.25">
      <c r="A5" s="115"/>
      <c r="B5" s="115"/>
      <c r="C5" s="115"/>
      <c r="D5" s="115"/>
      <c r="E5" s="115"/>
      <c r="F5" s="115"/>
      <c r="G5" s="115"/>
      <c r="H5" s="115"/>
      <c r="I5" s="115"/>
      <c r="J5" s="115"/>
      <c r="K5" s="184"/>
      <c r="L5" s="184"/>
      <c r="M5" s="184"/>
      <c r="N5" s="116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</row>
    <row r="6" spans="1:30" ht="15.75" thickBot="1" x14ac:dyDescent="0.3">
      <c r="A6" s="115"/>
      <c r="B6" s="116"/>
      <c r="C6" s="118"/>
      <c r="D6" s="118"/>
      <c r="E6" s="115"/>
      <c r="F6" s="115"/>
      <c r="G6" s="115"/>
      <c r="H6" s="115"/>
      <c r="I6" s="115"/>
      <c r="J6" s="118"/>
      <c r="K6" s="115"/>
      <c r="L6" s="115"/>
      <c r="M6" s="115"/>
      <c r="N6" s="116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  <c r="AA6" s="115"/>
      <c r="AB6" s="115"/>
      <c r="AC6" s="115"/>
      <c r="AD6" s="115"/>
    </row>
    <row r="7" spans="1:30" ht="15.75" customHeight="1" thickBot="1" x14ac:dyDescent="0.3">
      <c r="A7" s="366" t="s">
        <v>97</v>
      </c>
      <c r="B7" s="367"/>
      <c r="C7" s="163" t="s">
        <v>102</v>
      </c>
      <c r="D7" s="366" t="s">
        <v>98</v>
      </c>
      <c r="E7" s="368"/>
      <c r="F7" s="368"/>
      <c r="G7" s="367"/>
      <c r="H7" s="369" t="s">
        <v>99</v>
      </c>
      <c r="I7" s="370"/>
      <c r="J7" s="163" t="s">
        <v>100</v>
      </c>
      <c r="K7" s="115"/>
      <c r="L7" s="353" t="s">
        <v>35</v>
      </c>
      <c r="M7" s="354"/>
      <c r="N7" s="116"/>
      <c r="O7" s="341" t="s">
        <v>23</v>
      </c>
      <c r="P7" s="342"/>
      <c r="Q7" s="119">
        <v>8</v>
      </c>
      <c r="R7" s="119" t="s">
        <v>117</v>
      </c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</row>
    <row r="8" spans="1:30" ht="15" customHeight="1" thickBot="1" x14ac:dyDescent="0.35">
      <c r="A8" s="373"/>
      <c r="B8" s="374"/>
      <c r="C8" s="120"/>
      <c r="D8" s="363"/>
      <c r="E8" s="364"/>
      <c r="F8" s="364"/>
      <c r="G8" s="365"/>
      <c r="H8" s="363"/>
      <c r="I8" s="365"/>
      <c r="J8" s="121"/>
      <c r="K8" s="115"/>
      <c r="L8" s="181" t="s">
        <v>39</v>
      </c>
      <c r="M8" s="182" t="s">
        <v>118</v>
      </c>
      <c r="N8" s="116"/>
      <c r="O8" s="122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</row>
    <row r="9" spans="1:30" ht="15" customHeight="1" x14ac:dyDescent="0.25">
      <c r="A9" s="371" t="s">
        <v>0</v>
      </c>
      <c r="B9" s="343" t="s">
        <v>1</v>
      </c>
      <c r="C9" s="361" t="s">
        <v>2</v>
      </c>
      <c r="D9" s="343" t="s">
        <v>3</v>
      </c>
      <c r="E9" s="343" t="s">
        <v>4</v>
      </c>
      <c r="F9" s="361" t="s">
        <v>5</v>
      </c>
      <c r="G9" s="343" t="s">
        <v>6</v>
      </c>
      <c r="H9" s="383" t="s">
        <v>9</v>
      </c>
      <c r="I9" s="375" t="s">
        <v>11</v>
      </c>
      <c r="J9" s="345" t="s">
        <v>14</v>
      </c>
      <c r="K9" s="115"/>
      <c r="L9" s="165" t="s">
        <v>40</v>
      </c>
      <c r="M9" s="166">
        <v>1.1000000000000001</v>
      </c>
      <c r="N9" s="123"/>
      <c r="O9" s="380" t="s">
        <v>94</v>
      </c>
      <c r="P9" s="347" t="s">
        <v>15</v>
      </c>
      <c r="Q9" s="351" t="s">
        <v>7</v>
      </c>
      <c r="R9" s="349" t="s">
        <v>8</v>
      </c>
      <c r="S9" s="376" t="s">
        <v>10</v>
      </c>
      <c r="T9" s="378" t="s">
        <v>12</v>
      </c>
      <c r="U9" s="380" t="s">
        <v>13</v>
      </c>
      <c r="V9" s="351" t="s">
        <v>101</v>
      </c>
      <c r="W9" s="387" t="s">
        <v>16</v>
      </c>
      <c r="X9" s="371" t="s">
        <v>17</v>
      </c>
      <c r="Y9" s="343" t="s">
        <v>18</v>
      </c>
      <c r="Z9" s="343" t="s">
        <v>19</v>
      </c>
      <c r="AA9" s="343" t="s">
        <v>20</v>
      </c>
      <c r="AB9" s="343" t="s">
        <v>28</v>
      </c>
      <c r="AC9" s="343" t="s">
        <v>22</v>
      </c>
      <c r="AD9" s="385" t="s">
        <v>116</v>
      </c>
    </row>
    <row r="10" spans="1:30" ht="16.5" thickBot="1" x14ac:dyDescent="0.3">
      <c r="A10" s="372"/>
      <c r="B10" s="344"/>
      <c r="C10" s="362"/>
      <c r="D10" s="344"/>
      <c r="E10" s="344"/>
      <c r="F10" s="362"/>
      <c r="G10" s="344"/>
      <c r="H10" s="384"/>
      <c r="I10" s="344"/>
      <c r="J10" s="346"/>
      <c r="K10" s="115"/>
      <c r="L10" s="168" t="s">
        <v>41</v>
      </c>
      <c r="M10" s="169">
        <v>1.1000000000000001</v>
      </c>
      <c r="N10" s="124"/>
      <c r="O10" s="382"/>
      <c r="P10" s="348"/>
      <c r="Q10" s="389"/>
      <c r="R10" s="350"/>
      <c r="S10" s="377"/>
      <c r="T10" s="379"/>
      <c r="U10" s="381"/>
      <c r="V10" s="352"/>
      <c r="W10" s="388"/>
      <c r="X10" s="372"/>
      <c r="Y10" s="344"/>
      <c r="Z10" s="344"/>
      <c r="AA10" s="344"/>
      <c r="AB10" s="344"/>
      <c r="AC10" s="344"/>
      <c r="AD10" s="386"/>
    </row>
    <row r="11" spans="1:30" ht="15.75" x14ac:dyDescent="0.25">
      <c r="A11" s="194"/>
      <c r="B11" s="196"/>
      <c r="C11" s="197"/>
      <c r="D11" s="198"/>
      <c r="E11" s="196"/>
      <c r="F11" s="199"/>
      <c r="G11" s="200"/>
      <c r="H11" s="201"/>
      <c r="I11" s="202"/>
      <c r="J11" s="125">
        <f t="shared" ref="J11:J42" si="0">$M$9</f>
        <v>1.1000000000000001</v>
      </c>
      <c r="K11" s="164"/>
      <c r="L11" s="171" t="s">
        <v>29</v>
      </c>
      <c r="M11" s="172" t="s">
        <v>30</v>
      </c>
      <c r="N11" s="167"/>
      <c r="O11" s="191">
        <f t="array" ref="O11">INDEX(Tableaux!$H$4:$H$112,MATCH(MIN(ABS(G11-Tableaux!$H$4:$H$112)),ABS(G11-Tableaux!$H$4:$H$112),0))</f>
        <v>0.01</v>
      </c>
      <c r="P11" s="191">
        <f>INDEX(Tableaux!$I$4:$I$112,MATCH(O11,Tableaux!$H$4:$H$112,0))</f>
        <v>0</v>
      </c>
      <c r="Q11" s="127">
        <f t="shared" ref="Q11:Q59" si="1">G11*F11</f>
        <v>0</v>
      </c>
      <c r="R11" s="128"/>
      <c r="S11" s="129">
        <f t="shared" ref="S11:S59" si="2">H11*F11</f>
        <v>0</v>
      </c>
      <c r="T11" s="130">
        <f>S11*I11*$Q$7*I11/1000</f>
        <v>0</v>
      </c>
      <c r="U11" s="131">
        <f>INDEX(Tableaux!$F$6:$F$21,MATCH(I11,Tableaux!$E$6:$E$21,0))</f>
        <v>0</v>
      </c>
      <c r="V11" s="127">
        <f t="shared" ref="V11:V42" si="3">ROUND(S11*U11*J11,2)</f>
        <v>0</v>
      </c>
      <c r="W11" s="127">
        <f t="shared" ref="W11:W42" si="4">F11*P11</f>
        <v>0</v>
      </c>
      <c r="X11" s="212"/>
      <c r="Y11" s="202"/>
      <c r="Z11" s="132"/>
      <c r="AA11" s="133"/>
      <c r="AB11" s="133"/>
      <c r="AC11" s="202"/>
      <c r="AD11" s="134"/>
    </row>
    <row r="12" spans="1:30" ht="15.75" x14ac:dyDescent="0.25">
      <c r="A12" s="195"/>
      <c r="B12" s="203"/>
      <c r="C12" s="204"/>
      <c r="D12" s="205"/>
      <c r="E12" s="203"/>
      <c r="F12" s="206"/>
      <c r="G12" s="207"/>
      <c r="H12" s="208"/>
      <c r="I12" s="135"/>
      <c r="J12" s="136">
        <f t="shared" si="0"/>
        <v>1.1000000000000001</v>
      </c>
      <c r="K12" s="164"/>
      <c r="L12" s="171" t="s">
        <v>31</v>
      </c>
      <c r="M12" s="172">
        <v>1.1000000000000001</v>
      </c>
      <c r="N12" s="167"/>
      <c r="O12" s="192">
        <f t="array" ref="O12">INDEX(Tableaux!$H$4:$H$112,MATCH(MIN(ABS(G12-Tableaux!$H$4:$H$112)),ABS(G12-Tableaux!$H$4:$H$112),0))</f>
        <v>0.01</v>
      </c>
      <c r="P12" s="192">
        <f>INDEX(Tableaux!$I$4:$I$112,MATCH(O12,Tableaux!$H$4:$H$112,0))</f>
        <v>0</v>
      </c>
      <c r="Q12" s="127">
        <f t="shared" si="1"/>
        <v>0</v>
      </c>
      <c r="R12" s="128" t="e">
        <f>ROUND(((Q12/D12)/$Q$7),4)</f>
        <v>#DIV/0!</v>
      </c>
      <c r="S12" s="129">
        <f t="shared" si="2"/>
        <v>0</v>
      </c>
      <c r="T12" s="130">
        <f>S12*I12*$Q$7*I12/1000</f>
        <v>0</v>
      </c>
      <c r="U12" s="131">
        <f>INDEX(Tableaux!$F$6:$F$21,MATCH(I12,Tableaux!$E$6:$E$21,0))</f>
        <v>0</v>
      </c>
      <c r="V12" s="127">
        <f t="shared" si="3"/>
        <v>0</v>
      </c>
      <c r="W12" s="127">
        <f t="shared" si="4"/>
        <v>0</v>
      </c>
      <c r="X12" s="137"/>
      <c r="Y12" s="138"/>
      <c r="Z12" s="138"/>
      <c r="AA12" s="138"/>
      <c r="AB12" s="138"/>
      <c r="AC12" s="138"/>
      <c r="AD12" s="139"/>
    </row>
    <row r="13" spans="1:30" ht="15.75" x14ac:dyDescent="0.25">
      <c r="A13" s="195"/>
      <c r="B13" s="203"/>
      <c r="C13" s="204"/>
      <c r="D13" s="205"/>
      <c r="E13" s="203"/>
      <c r="F13" s="206"/>
      <c r="G13" s="207"/>
      <c r="H13" s="208"/>
      <c r="I13" s="135"/>
      <c r="J13" s="136">
        <f t="shared" si="0"/>
        <v>1.1000000000000001</v>
      </c>
      <c r="K13" s="164"/>
      <c r="L13" s="171" t="s">
        <v>32</v>
      </c>
      <c r="M13" s="172">
        <v>1.25</v>
      </c>
      <c r="N13" s="167"/>
      <c r="O13" s="192">
        <f t="array" ref="O13">INDEX(Tableaux!$H$4:$H$112,MATCH(MIN(ABS(G13-Tableaux!$H$4:$H$112)),ABS(G13-Tableaux!$H$4:$H$112),0))</f>
        <v>0.01</v>
      </c>
      <c r="P13" s="192">
        <f>INDEX(Tableaux!$I$4:$I$112,MATCH(O13,Tableaux!$H$4:$H$112,0))</f>
        <v>0</v>
      </c>
      <c r="Q13" s="127">
        <f t="shared" si="1"/>
        <v>0</v>
      </c>
      <c r="R13" s="128"/>
      <c r="S13" s="129">
        <f t="shared" si="2"/>
        <v>0</v>
      </c>
      <c r="T13" s="130">
        <f>S13*I13*$Q$7*I13/1000</f>
        <v>0</v>
      </c>
      <c r="U13" s="131">
        <f>INDEX(Tableaux!$F$6:$F$21,MATCH(I13,Tableaux!$E$6:$E$21,0))</f>
        <v>0</v>
      </c>
      <c r="V13" s="127">
        <f t="shared" si="3"/>
        <v>0</v>
      </c>
      <c r="W13" s="127">
        <f t="shared" si="4"/>
        <v>0</v>
      </c>
      <c r="X13" s="137"/>
      <c r="Y13" s="138"/>
      <c r="Z13" s="138"/>
      <c r="AA13" s="138"/>
      <c r="AB13" s="138"/>
      <c r="AC13" s="138"/>
      <c r="AD13" s="139"/>
    </row>
    <row r="14" spans="1:30" ht="15.75" x14ac:dyDescent="0.25">
      <c r="A14" s="195"/>
      <c r="B14" s="203"/>
      <c r="C14" s="204"/>
      <c r="D14" s="205"/>
      <c r="E14" s="203"/>
      <c r="F14" s="206"/>
      <c r="G14" s="207"/>
      <c r="H14" s="208"/>
      <c r="I14" s="135"/>
      <c r="J14" s="136">
        <f t="shared" si="0"/>
        <v>1.1000000000000001</v>
      </c>
      <c r="K14" s="164"/>
      <c r="L14" s="171" t="s">
        <v>33</v>
      </c>
      <c r="M14" s="172">
        <v>1.5</v>
      </c>
      <c r="N14" s="167"/>
      <c r="O14" s="192">
        <f t="array" ref="O14">INDEX(Tableaux!$H$4:$H$112,MATCH(MIN(ABS(G14-Tableaux!$H$4:$H$112)),ABS(G14-Tableaux!$H$4:$H$112),0))</f>
        <v>0.01</v>
      </c>
      <c r="P14" s="192">
        <f>INDEX(Tableaux!$I$4:$I$112,MATCH(O14,Tableaux!$H$4:$H$112,0))</f>
        <v>0</v>
      </c>
      <c r="Q14" s="127">
        <f t="shared" si="1"/>
        <v>0</v>
      </c>
      <c r="R14" s="128"/>
      <c r="S14" s="129">
        <f t="shared" si="2"/>
        <v>0</v>
      </c>
      <c r="T14" s="130">
        <f t="shared" ref="T14:T59" si="5">S14*I14*$Q$7*I14/1000</f>
        <v>0</v>
      </c>
      <c r="U14" s="131">
        <f>INDEX(Tableaux!$F$6:$F$21,MATCH(I14,Tableaux!$E$6:$E$21,0))</f>
        <v>0</v>
      </c>
      <c r="V14" s="127">
        <f t="shared" si="3"/>
        <v>0</v>
      </c>
      <c r="W14" s="127">
        <f t="shared" si="4"/>
        <v>0</v>
      </c>
      <c r="X14" s="137"/>
      <c r="Y14" s="138"/>
      <c r="Z14" s="138"/>
      <c r="AA14" s="138"/>
      <c r="AB14" s="138"/>
      <c r="AC14" s="138"/>
      <c r="AD14" s="139"/>
    </row>
    <row r="15" spans="1:30" ht="15.75" x14ac:dyDescent="0.25">
      <c r="A15" s="195"/>
      <c r="B15" s="203"/>
      <c r="C15" s="204"/>
      <c r="D15" s="205"/>
      <c r="E15" s="203"/>
      <c r="F15" s="206"/>
      <c r="G15" s="207"/>
      <c r="H15" s="208"/>
      <c r="I15" s="135"/>
      <c r="J15" s="136">
        <f t="shared" si="0"/>
        <v>1.1000000000000001</v>
      </c>
      <c r="K15" s="173"/>
      <c r="L15" s="174" t="s">
        <v>34</v>
      </c>
      <c r="M15" s="175">
        <v>2.5</v>
      </c>
      <c r="N15" s="167"/>
      <c r="O15" s="192">
        <f t="array" ref="O15">INDEX(Tableaux!$H$4:$H$112,MATCH(MIN(ABS(G15-Tableaux!$H$4:$H$112)),ABS(G15-Tableaux!$H$4:$H$112),0))</f>
        <v>0.01</v>
      </c>
      <c r="P15" s="192">
        <f>INDEX(Tableaux!$I$4:$I$112,MATCH(O15,Tableaux!$H$4:$H$112,0))</f>
        <v>0</v>
      </c>
      <c r="Q15" s="127">
        <f t="shared" si="1"/>
        <v>0</v>
      </c>
      <c r="R15" s="128"/>
      <c r="S15" s="129">
        <f t="shared" si="2"/>
        <v>0</v>
      </c>
      <c r="T15" s="130">
        <f t="shared" si="5"/>
        <v>0</v>
      </c>
      <c r="U15" s="131">
        <f>INDEX(Tableaux!$F$6:$F$21,MATCH(I15,Tableaux!$E$6:$E$21,0))</f>
        <v>0</v>
      </c>
      <c r="V15" s="127">
        <f t="shared" si="3"/>
        <v>0</v>
      </c>
      <c r="W15" s="127">
        <f t="shared" si="4"/>
        <v>0</v>
      </c>
      <c r="X15" s="137"/>
      <c r="Y15" s="138"/>
      <c r="Z15" s="138"/>
      <c r="AA15" s="138"/>
      <c r="AB15" s="138"/>
      <c r="AC15" s="138"/>
      <c r="AD15" s="139"/>
    </row>
    <row r="16" spans="1:30" ht="15.75" x14ac:dyDescent="0.25">
      <c r="A16" s="209"/>
      <c r="B16" s="82"/>
      <c r="C16" s="82"/>
      <c r="D16" s="82"/>
      <c r="E16" s="82"/>
      <c r="F16" s="210"/>
      <c r="G16" s="82"/>
      <c r="H16" s="211"/>
      <c r="I16" s="135"/>
      <c r="J16" s="136">
        <f t="shared" si="0"/>
        <v>1.1000000000000001</v>
      </c>
      <c r="K16" s="173"/>
      <c r="L16" s="176" t="s">
        <v>42</v>
      </c>
      <c r="M16" s="170">
        <v>2</v>
      </c>
      <c r="N16" s="167"/>
      <c r="O16" s="192">
        <f t="array" ref="O16">INDEX(Tableaux!$H$4:$H$112,MATCH(MIN(ABS(G16-Tableaux!$H$4:$H$112)),ABS(G16-Tableaux!$H$4:$H$112),0))</f>
        <v>0.01</v>
      </c>
      <c r="P16" s="192">
        <f>INDEX(Tableaux!$I$4:$I$112,MATCH(O16,Tableaux!$H$4:$H$112,0))</f>
        <v>0</v>
      </c>
      <c r="Q16" s="127">
        <f t="shared" si="1"/>
        <v>0</v>
      </c>
      <c r="R16" s="128"/>
      <c r="S16" s="129">
        <f t="shared" si="2"/>
        <v>0</v>
      </c>
      <c r="T16" s="130">
        <f t="shared" si="5"/>
        <v>0</v>
      </c>
      <c r="U16" s="131">
        <f>INDEX(Tableaux!$F$6:$F$21,MATCH(I16,Tableaux!$E$6:$E$21,0))</f>
        <v>0</v>
      </c>
      <c r="V16" s="127">
        <f t="shared" si="3"/>
        <v>0</v>
      </c>
      <c r="W16" s="127">
        <f t="shared" si="4"/>
        <v>0</v>
      </c>
      <c r="X16" s="137"/>
      <c r="Y16" s="138"/>
      <c r="Z16" s="138"/>
      <c r="AA16" s="138"/>
      <c r="AB16" s="138"/>
      <c r="AC16" s="138"/>
      <c r="AD16" s="139"/>
    </row>
    <row r="17" spans="1:30" ht="15.75" x14ac:dyDescent="0.25">
      <c r="A17" s="209"/>
      <c r="B17" s="82"/>
      <c r="C17" s="82"/>
      <c r="D17" s="82"/>
      <c r="E17" s="82"/>
      <c r="F17" s="210"/>
      <c r="G17" s="82"/>
      <c r="H17" s="211"/>
      <c r="I17" s="135"/>
      <c r="J17" s="136">
        <f t="shared" si="0"/>
        <v>1.1000000000000001</v>
      </c>
      <c r="K17" s="164"/>
      <c r="L17" s="176" t="s">
        <v>43</v>
      </c>
      <c r="M17" s="170">
        <v>2</v>
      </c>
      <c r="N17" s="167"/>
      <c r="O17" s="192">
        <f t="array" ref="O17">INDEX(Tableaux!$H$4:$H$112,MATCH(MIN(ABS(G17-Tableaux!$H$4:$H$112)),ABS(G17-Tableaux!$H$4:$H$112),0))</f>
        <v>0.01</v>
      </c>
      <c r="P17" s="192">
        <f>INDEX(Tableaux!$I$4:$I$112,MATCH(O17,Tableaux!$H$4:$H$112,0))</f>
        <v>0</v>
      </c>
      <c r="Q17" s="127">
        <f t="shared" si="1"/>
        <v>0</v>
      </c>
      <c r="R17" s="128"/>
      <c r="S17" s="129">
        <f t="shared" si="2"/>
        <v>0</v>
      </c>
      <c r="T17" s="130">
        <f t="shared" si="5"/>
        <v>0</v>
      </c>
      <c r="U17" s="131">
        <f>INDEX(Tableaux!$F$6:$F$21,MATCH(I17,Tableaux!$E$6:$E$21,0))</f>
        <v>0</v>
      </c>
      <c r="V17" s="127">
        <f t="shared" si="3"/>
        <v>0</v>
      </c>
      <c r="W17" s="127">
        <f t="shared" si="4"/>
        <v>0</v>
      </c>
      <c r="X17" s="137"/>
      <c r="Y17" s="138"/>
      <c r="Z17" s="138"/>
      <c r="AA17" s="138"/>
      <c r="AB17" s="138"/>
      <c r="AC17" s="138"/>
      <c r="AD17" s="139"/>
    </row>
    <row r="18" spans="1:30" ht="16.5" thickBot="1" x14ac:dyDescent="0.3">
      <c r="A18" s="209"/>
      <c r="B18" s="82"/>
      <c r="C18" s="82"/>
      <c r="D18" s="82"/>
      <c r="E18" s="82"/>
      <c r="F18" s="210"/>
      <c r="G18" s="82"/>
      <c r="H18" s="211"/>
      <c r="I18" s="135"/>
      <c r="J18" s="136">
        <f t="shared" si="0"/>
        <v>1.1000000000000001</v>
      </c>
      <c r="K18" s="164"/>
      <c r="L18" s="177" t="s">
        <v>44</v>
      </c>
      <c r="M18" s="178">
        <v>2</v>
      </c>
      <c r="N18" s="167"/>
      <c r="O18" s="192">
        <f t="array" ref="O18">INDEX(Tableaux!$H$4:$H$112,MATCH(MIN(ABS(G18-Tableaux!$H$4:$H$112)),ABS(G18-Tableaux!$H$4:$H$112),0))</f>
        <v>0.01</v>
      </c>
      <c r="P18" s="192">
        <f>INDEX(Tableaux!$I$4:$I$112,MATCH(O18,Tableaux!$H$4:$H$112,0))</f>
        <v>0</v>
      </c>
      <c r="Q18" s="127">
        <f t="shared" si="1"/>
        <v>0</v>
      </c>
      <c r="R18" s="128"/>
      <c r="S18" s="129">
        <f t="shared" si="2"/>
        <v>0</v>
      </c>
      <c r="T18" s="130">
        <f t="shared" si="5"/>
        <v>0</v>
      </c>
      <c r="U18" s="131">
        <f>INDEX(Tableaux!$F$6:$F$21,MATCH(I18,Tableaux!$E$6:$E$21,0))</f>
        <v>0</v>
      </c>
      <c r="V18" s="127">
        <f t="shared" si="3"/>
        <v>0</v>
      </c>
      <c r="W18" s="127">
        <f t="shared" si="4"/>
        <v>0</v>
      </c>
      <c r="X18" s="137"/>
      <c r="Y18" s="138"/>
      <c r="Z18" s="138"/>
      <c r="AA18" s="138"/>
      <c r="AB18" s="138"/>
      <c r="AC18" s="138"/>
      <c r="AD18" s="139"/>
    </row>
    <row r="19" spans="1:30" ht="15.75" x14ac:dyDescent="0.25">
      <c r="A19" s="209"/>
      <c r="B19" s="82"/>
      <c r="C19" s="82"/>
      <c r="D19" s="82"/>
      <c r="E19" s="82"/>
      <c r="F19" s="210"/>
      <c r="G19" s="82"/>
      <c r="H19" s="211"/>
      <c r="I19" s="135"/>
      <c r="J19" s="136">
        <f t="shared" si="0"/>
        <v>1.1000000000000001</v>
      </c>
      <c r="K19" s="173"/>
      <c r="N19" s="167"/>
      <c r="O19" s="192">
        <f t="array" ref="O19">INDEX(Tableaux!$H$4:$H$112,MATCH(MIN(ABS(G19-Tableaux!$H$4:$H$112)),ABS(G19-Tableaux!$H$4:$H$112),0))</f>
        <v>0.01</v>
      </c>
      <c r="P19" s="192">
        <f>INDEX(Tableaux!$I$4:$I$112,MATCH(O19,Tableaux!$H$4:$H$112,0))</f>
        <v>0</v>
      </c>
      <c r="Q19" s="127">
        <f t="shared" si="1"/>
        <v>0</v>
      </c>
      <c r="R19" s="128"/>
      <c r="S19" s="129">
        <f t="shared" si="2"/>
        <v>0</v>
      </c>
      <c r="T19" s="130">
        <f t="shared" si="5"/>
        <v>0</v>
      </c>
      <c r="U19" s="131">
        <f>INDEX(Tableaux!$F$6:$F$21,MATCH(I19,Tableaux!$E$6:$E$21,0))</f>
        <v>0</v>
      </c>
      <c r="V19" s="127">
        <f t="shared" si="3"/>
        <v>0</v>
      </c>
      <c r="W19" s="127">
        <f t="shared" si="4"/>
        <v>0</v>
      </c>
      <c r="X19" s="137"/>
      <c r="Y19" s="138"/>
      <c r="Z19" s="138"/>
      <c r="AA19" s="138"/>
      <c r="AB19" s="138"/>
      <c r="AC19" s="138"/>
      <c r="AD19" s="139"/>
    </row>
    <row r="20" spans="1:30" ht="15" customHeight="1" x14ac:dyDescent="0.25">
      <c r="A20" s="209"/>
      <c r="B20" s="82"/>
      <c r="C20" s="82"/>
      <c r="D20" s="82"/>
      <c r="E20" s="82"/>
      <c r="F20" s="210"/>
      <c r="G20" s="82"/>
      <c r="H20" s="211"/>
      <c r="I20" s="135"/>
      <c r="J20" s="136">
        <f t="shared" si="0"/>
        <v>1.1000000000000001</v>
      </c>
      <c r="K20" s="164"/>
      <c r="L20" s="179"/>
      <c r="M20" s="179"/>
      <c r="N20" s="167"/>
      <c r="O20" s="192">
        <f t="array" ref="O20">INDEX(Tableaux!$H$4:$H$112,MATCH(MIN(ABS(G20-Tableaux!$H$4:$H$112)),ABS(G20-Tableaux!$H$4:$H$112),0))</f>
        <v>0.01</v>
      </c>
      <c r="P20" s="192">
        <f>INDEX(Tableaux!$I$4:$I$112,MATCH(O20,Tableaux!$H$4:$H$112,0))</f>
        <v>0</v>
      </c>
      <c r="Q20" s="127">
        <f t="shared" si="1"/>
        <v>0</v>
      </c>
      <c r="R20" s="128"/>
      <c r="S20" s="129">
        <f t="shared" si="2"/>
        <v>0</v>
      </c>
      <c r="T20" s="130">
        <f t="shared" si="5"/>
        <v>0</v>
      </c>
      <c r="U20" s="131">
        <f>INDEX(Tableaux!$F$6:$F$21,MATCH(I20,Tableaux!$E$6:$E$21,0))</f>
        <v>0</v>
      </c>
      <c r="V20" s="127">
        <f t="shared" si="3"/>
        <v>0</v>
      </c>
      <c r="W20" s="127">
        <f t="shared" si="4"/>
        <v>0</v>
      </c>
      <c r="X20" s="137"/>
      <c r="Y20" s="138"/>
      <c r="Z20" s="138"/>
      <c r="AA20" s="138"/>
      <c r="AB20" s="138"/>
      <c r="AC20" s="138"/>
      <c r="AD20" s="139"/>
    </row>
    <row r="21" spans="1:30" ht="15.75" customHeight="1" x14ac:dyDescent="0.25">
      <c r="A21" s="209"/>
      <c r="B21" s="82"/>
      <c r="C21" s="82"/>
      <c r="D21" s="82"/>
      <c r="E21" s="82"/>
      <c r="F21" s="210"/>
      <c r="G21" s="82"/>
      <c r="H21" s="211"/>
      <c r="I21" s="135"/>
      <c r="J21" s="136">
        <f t="shared" si="0"/>
        <v>1.1000000000000001</v>
      </c>
      <c r="K21" s="173"/>
      <c r="L21" s="179"/>
      <c r="M21" s="179"/>
      <c r="N21" s="167"/>
      <c r="O21" s="192">
        <f t="array" ref="O21">INDEX(Tableaux!$H$4:$H$112,MATCH(MIN(ABS(G21-Tableaux!$H$4:$H$112)),ABS(G21-Tableaux!$H$4:$H$112),0))</f>
        <v>0.01</v>
      </c>
      <c r="P21" s="192">
        <f>INDEX(Tableaux!$I$4:$I$112,MATCH(O21,Tableaux!$H$4:$H$112,0))</f>
        <v>0</v>
      </c>
      <c r="Q21" s="127">
        <f t="shared" si="1"/>
        <v>0</v>
      </c>
      <c r="R21" s="128"/>
      <c r="S21" s="129">
        <f t="shared" si="2"/>
        <v>0</v>
      </c>
      <c r="T21" s="130">
        <f t="shared" si="5"/>
        <v>0</v>
      </c>
      <c r="U21" s="131">
        <f>INDEX(Tableaux!$F$6:$F$21,MATCH(I21,Tableaux!$E$6:$E$21,0))</f>
        <v>0</v>
      </c>
      <c r="V21" s="127">
        <f t="shared" si="3"/>
        <v>0</v>
      </c>
      <c r="W21" s="127">
        <f t="shared" si="4"/>
        <v>0</v>
      </c>
      <c r="X21" s="137"/>
      <c r="Y21" s="138"/>
      <c r="Z21" s="138"/>
      <c r="AA21" s="138"/>
      <c r="AB21" s="138"/>
      <c r="AC21" s="138"/>
      <c r="AD21" s="139"/>
    </row>
    <row r="22" spans="1:30" ht="15" customHeight="1" x14ac:dyDescent="0.25">
      <c r="A22" s="209"/>
      <c r="B22" s="82"/>
      <c r="C22" s="82"/>
      <c r="D22" s="82"/>
      <c r="E22" s="82"/>
      <c r="F22" s="210"/>
      <c r="G22" s="82"/>
      <c r="H22" s="211"/>
      <c r="I22" s="135"/>
      <c r="J22" s="136">
        <f t="shared" si="0"/>
        <v>1.1000000000000001</v>
      </c>
      <c r="K22" s="164"/>
      <c r="L22" s="179"/>
      <c r="M22" s="179"/>
      <c r="N22" s="167"/>
      <c r="O22" s="192">
        <f t="array" ref="O22">INDEX(Tableaux!$H$4:$H$112,MATCH(MIN(ABS(G22-Tableaux!$H$4:$H$112)),ABS(G22-Tableaux!$H$4:$H$112),0))</f>
        <v>0.01</v>
      </c>
      <c r="P22" s="192">
        <f>INDEX(Tableaux!$I$4:$I$112,MATCH(O22,Tableaux!$H$4:$H$112,0))</f>
        <v>0</v>
      </c>
      <c r="Q22" s="127">
        <f t="shared" si="1"/>
        <v>0</v>
      </c>
      <c r="R22" s="128"/>
      <c r="S22" s="129">
        <f t="shared" si="2"/>
        <v>0</v>
      </c>
      <c r="T22" s="130">
        <f t="shared" si="5"/>
        <v>0</v>
      </c>
      <c r="U22" s="131">
        <f>INDEX(Tableaux!$F$6:$F$21,MATCH(I22,Tableaux!$E$6:$E$21,0))</f>
        <v>0</v>
      </c>
      <c r="V22" s="127">
        <f t="shared" si="3"/>
        <v>0</v>
      </c>
      <c r="W22" s="127">
        <f t="shared" si="4"/>
        <v>0</v>
      </c>
      <c r="X22" s="137"/>
      <c r="Y22" s="138"/>
      <c r="Z22" s="138"/>
      <c r="AA22" s="138"/>
      <c r="AB22" s="138"/>
      <c r="AC22" s="138"/>
      <c r="AD22" s="139"/>
    </row>
    <row r="23" spans="1:30" ht="15.75" x14ac:dyDescent="0.25">
      <c r="A23" s="209"/>
      <c r="B23" s="82"/>
      <c r="C23" s="82"/>
      <c r="D23" s="82"/>
      <c r="E23" s="82"/>
      <c r="F23" s="210"/>
      <c r="G23" s="82"/>
      <c r="H23" s="211"/>
      <c r="I23" s="135"/>
      <c r="J23" s="136">
        <f t="shared" si="0"/>
        <v>1.1000000000000001</v>
      </c>
      <c r="K23" s="164"/>
      <c r="L23" s="179"/>
      <c r="M23" s="179"/>
      <c r="N23" s="167"/>
      <c r="O23" s="192">
        <f t="array" ref="O23">INDEX(Tableaux!$H$4:$H$112,MATCH(MIN(ABS(G23-Tableaux!$H$4:$H$112)),ABS(G23-Tableaux!$H$4:$H$112),0))</f>
        <v>0.01</v>
      </c>
      <c r="P23" s="192">
        <f>INDEX(Tableaux!$I$4:$I$112,MATCH(O23,Tableaux!$H$4:$H$112,0))</f>
        <v>0</v>
      </c>
      <c r="Q23" s="127">
        <f t="shared" si="1"/>
        <v>0</v>
      </c>
      <c r="R23" s="128"/>
      <c r="S23" s="129">
        <f t="shared" si="2"/>
        <v>0</v>
      </c>
      <c r="T23" s="130">
        <f t="shared" si="5"/>
        <v>0</v>
      </c>
      <c r="U23" s="131">
        <f>INDEX(Tableaux!$F$6:$F$21,MATCH(I23,Tableaux!$E$6:$E$21,0))</f>
        <v>0</v>
      </c>
      <c r="V23" s="127">
        <f t="shared" si="3"/>
        <v>0</v>
      </c>
      <c r="W23" s="127">
        <f t="shared" si="4"/>
        <v>0</v>
      </c>
      <c r="X23" s="137"/>
      <c r="Y23" s="138"/>
      <c r="Z23" s="138"/>
      <c r="AA23" s="138"/>
      <c r="AB23" s="138"/>
      <c r="AC23" s="138"/>
      <c r="AD23" s="139"/>
    </row>
    <row r="24" spans="1:30" ht="15.75" x14ac:dyDescent="0.25">
      <c r="A24" s="209"/>
      <c r="B24" s="82"/>
      <c r="C24" s="82"/>
      <c r="D24" s="82"/>
      <c r="E24" s="82"/>
      <c r="F24" s="210"/>
      <c r="G24" s="82"/>
      <c r="H24" s="211"/>
      <c r="I24" s="135"/>
      <c r="J24" s="136">
        <f t="shared" si="0"/>
        <v>1.1000000000000001</v>
      </c>
      <c r="K24" s="164"/>
      <c r="L24" s="179"/>
      <c r="M24" s="179"/>
      <c r="N24" s="167"/>
      <c r="O24" s="192">
        <f t="array" ref="O24">INDEX(Tableaux!$H$4:$H$112,MATCH(MIN(ABS(G24-Tableaux!$H$4:$H$112)),ABS(G24-Tableaux!$H$4:$H$112),0))</f>
        <v>0.01</v>
      </c>
      <c r="P24" s="192">
        <f>INDEX(Tableaux!$I$4:$I$112,MATCH(O24,Tableaux!$H$4:$H$112,0))</f>
        <v>0</v>
      </c>
      <c r="Q24" s="127">
        <f t="shared" si="1"/>
        <v>0</v>
      </c>
      <c r="R24" s="128"/>
      <c r="S24" s="129">
        <f t="shared" si="2"/>
        <v>0</v>
      </c>
      <c r="T24" s="130">
        <f t="shared" si="5"/>
        <v>0</v>
      </c>
      <c r="U24" s="131">
        <f>INDEX(Tableaux!$F$6:$F$21,MATCH(I24,Tableaux!$E$6:$E$21,0))</f>
        <v>0</v>
      </c>
      <c r="V24" s="127">
        <f t="shared" si="3"/>
        <v>0</v>
      </c>
      <c r="W24" s="127">
        <f t="shared" si="4"/>
        <v>0</v>
      </c>
      <c r="X24" s="137"/>
      <c r="Y24" s="138"/>
      <c r="Z24" s="138"/>
      <c r="AA24" s="138"/>
      <c r="AB24" s="138"/>
      <c r="AC24" s="138"/>
      <c r="AD24" s="139"/>
    </row>
    <row r="25" spans="1:30" ht="15.75" x14ac:dyDescent="0.25">
      <c r="A25" s="137"/>
      <c r="B25" s="138"/>
      <c r="C25" s="138"/>
      <c r="D25" s="138"/>
      <c r="E25" s="138"/>
      <c r="F25" s="138"/>
      <c r="G25" s="138"/>
      <c r="H25" s="189"/>
      <c r="I25" s="135"/>
      <c r="J25" s="136">
        <f t="shared" si="0"/>
        <v>1.1000000000000001</v>
      </c>
      <c r="K25" s="164"/>
      <c r="L25" s="167"/>
      <c r="M25" s="167"/>
      <c r="N25" s="167"/>
      <c r="O25" s="192">
        <f t="array" ref="O25">INDEX(Tableaux!$H$4:$H$112,MATCH(MIN(ABS(G25-Tableaux!$H$4:$H$112)),ABS(G25-Tableaux!$H$4:$H$112),0))</f>
        <v>0.01</v>
      </c>
      <c r="P25" s="192">
        <f>INDEX(Tableaux!$I$4:$I$112,MATCH(O25,Tableaux!$H$4:$H$112,0))</f>
        <v>0</v>
      </c>
      <c r="Q25" s="127">
        <f t="shared" si="1"/>
        <v>0</v>
      </c>
      <c r="R25" s="128"/>
      <c r="S25" s="129">
        <f t="shared" si="2"/>
        <v>0</v>
      </c>
      <c r="T25" s="130">
        <f t="shared" si="5"/>
        <v>0</v>
      </c>
      <c r="U25" s="131">
        <f>INDEX(Tableaux!$F$6:$F$21,MATCH(I25,Tableaux!$E$6:$E$21,0))</f>
        <v>0</v>
      </c>
      <c r="V25" s="127">
        <f t="shared" si="3"/>
        <v>0</v>
      </c>
      <c r="W25" s="127">
        <f t="shared" si="4"/>
        <v>0</v>
      </c>
      <c r="X25" s="137"/>
      <c r="Y25" s="138"/>
      <c r="Z25" s="138"/>
      <c r="AA25" s="138"/>
      <c r="AB25" s="138"/>
      <c r="AC25" s="138"/>
      <c r="AD25" s="139"/>
    </row>
    <row r="26" spans="1:30" ht="15.75" x14ac:dyDescent="0.25">
      <c r="A26" s="137"/>
      <c r="B26" s="138"/>
      <c r="C26" s="138"/>
      <c r="D26" s="138"/>
      <c r="E26" s="138"/>
      <c r="F26" s="138"/>
      <c r="G26" s="138"/>
      <c r="H26" s="189"/>
      <c r="I26" s="138"/>
      <c r="J26" s="136">
        <f t="shared" si="0"/>
        <v>1.1000000000000001</v>
      </c>
      <c r="K26" s="164"/>
      <c r="L26" s="167"/>
      <c r="M26" s="167"/>
      <c r="N26" s="167"/>
      <c r="O26" s="192">
        <f t="array" ref="O26">INDEX(Tableaux!$H$4:$H$112,MATCH(MIN(ABS(G26-Tableaux!$H$4:$H$112)),ABS(G26-Tableaux!$H$4:$H$112),0))</f>
        <v>0.01</v>
      </c>
      <c r="P26" s="192">
        <f>INDEX(Tableaux!$I$4:$I$112,MATCH(O26,Tableaux!$H$4:$H$112,0))</f>
        <v>0</v>
      </c>
      <c r="Q26" s="127">
        <f t="shared" si="1"/>
        <v>0</v>
      </c>
      <c r="R26" s="128"/>
      <c r="S26" s="129">
        <f t="shared" si="2"/>
        <v>0</v>
      </c>
      <c r="T26" s="130">
        <f t="shared" si="5"/>
        <v>0</v>
      </c>
      <c r="U26" s="131">
        <f>INDEX(Tableaux!$F$6:$F$21,MATCH(I26,Tableaux!$E$6:$E$21,0))</f>
        <v>0</v>
      </c>
      <c r="V26" s="127">
        <f t="shared" si="3"/>
        <v>0</v>
      </c>
      <c r="W26" s="127">
        <f t="shared" si="4"/>
        <v>0</v>
      </c>
      <c r="X26" s="137"/>
      <c r="Y26" s="138"/>
      <c r="Z26" s="138"/>
      <c r="AA26" s="138"/>
      <c r="AB26" s="138"/>
      <c r="AC26" s="138"/>
      <c r="AD26" s="139"/>
    </row>
    <row r="27" spans="1:30" ht="15.75" x14ac:dyDescent="0.25">
      <c r="A27" s="137"/>
      <c r="B27" s="138"/>
      <c r="C27" s="138"/>
      <c r="D27" s="138"/>
      <c r="E27" s="138"/>
      <c r="F27" s="138"/>
      <c r="G27" s="138"/>
      <c r="H27" s="189"/>
      <c r="I27" s="138"/>
      <c r="J27" s="136">
        <f t="shared" si="0"/>
        <v>1.1000000000000001</v>
      </c>
      <c r="K27" s="164"/>
      <c r="L27" s="167"/>
      <c r="M27" s="167"/>
      <c r="N27" s="167"/>
      <c r="O27" s="192">
        <f t="array" ref="O27">INDEX(Tableaux!$H$4:$H$112,MATCH(MIN(ABS(G27-Tableaux!$H$4:$H$112)),ABS(G27-Tableaux!$H$4:$H$112),0))</f>
        <v>0.01</v>
      </c>
      <c r="P27" s="192">
        <f>INDEX(Tableaux!$I$4:$I$112,MATCH(O27,Tableaux!$H$4:$H$112,0))</f>
        <v>0</v>
      </c>
      <c r="Q27" s="127">
        <f t="shared" si="1"/>
        <v>0</v>
      </c>
      <c r="R27" s="128"/>
      <c r="S27" s="129">
        <f t="shared" si="2"/>
        <v>0</v>
      </c>
      <c r="T27" s="130">
        <f t="shared" si="5"/>
        <v>0</v>
      </c>
      <c r="U27" s="131">
        <f>INDEX(Tableaux!$F$6:$F$21,MATCH(I27,Tableaux!$E$6:$E$21,0))</f>
        <v>0</v>
      </c>
      <c r="V27" s="127">
        <f t="shared" si="3"/>
        <v>0</v>
      </c>
      <c r="W27" s="127">
        <f t="shared" si="4"/>
        <v>0</v>
      </c>
      <c r="X27" s="137"/>
      <c r="Y27" s="138"/>
      <c r="Z27" s="138"/>
      <c r="AA27" s="138"/>
      <c r="AB27" s="138"/>
      <c r="AC27" s="138"/>
      <c r="AD27" s="139"/>
    </row>
    <row r="28" spans="1:30" ht="15.75" x14ac:dyDescent="0.25">
      <c r="A28" s="137"/>
      <c r="B28" s="138"/>
      <c r="C28" s="138"/>
      <c r="D28" s="138"/>
      <c r="E28" s="138"/>
      <c r="F28" s="138"/>
      <c r="G28" s="138"/>
      <c r="H28" s="189"/>
      <c r="I28" s="138"/>
      <c r="J28" s="136">
        <f t="shared" si="0"/>
        <v>1.1000000000000001</v>
      </c>
      <c r="K28" s="164"/>
      <c r="L28" s="167"/>
      <c r="M28" s="167"/>
      <c r="N28" s="167"/>
      <c r="O28" s="192">
        <f t="array" ref="O28">INDEX(Tableaux!$H$4:$H$112,MATCH(MIN(ABS(G28-Tableaux!$H$4:$H$112)),ABS(G28-Tableaux!$H$4:$H$112),0))</f>
        <v>0.01</v>
      </c>
      <c r="P28" s="192">
        <f>INDEX(Tableaux!$I$4:$I$112,MATCH(O28,Tableaux!$H$4:$H$112,0))</f>
        <v>0</v>
      </c>
      <c r="Q28" s="127">
        <f t="shared" si="1"/>
        <v>0</v>
      </c>
      <c r="R28" s="128"/>
      <c r="S28" s="129">
        <f t="shared" si="2"/>
        <v>0</v>
      </c>
      <c r="T28" s="130">
        <f t="shared" si="5"/>
        <v>0</v>
      </c>
      <c r="U28" s="131">
        <f>INDEX(Tableaux!$F$6:$F$21,MATCH(I28,Tableaux!$E$6:$E$21,0))</f>
        <v>0</v>
      </c>
      <c r="V28" s="127">
        <f t="shared" si="3"/>
        <v>0</v>
      </c>
      <c r="W28" s="127">
        <f t="shared" si="4"/>
        <v>0</v>
      </c>
      <c r="X28" s="137"/>
      <c r="Y28" s="138"/>
      <c r="Z28" s="138"/>
      <c r="AA28" s="138"/>
      <c r="AB28" s="138"/>
      <c r="AC28" s="138"/>
      <c r="AD28" s="139"/>
    </row>
    <row r="29" spans="1:30" ht="15.75" x14ac:dyDescent="0.25">
      <c r="A29" s="137"/>
      <c r="B29" s="138"/>
      <c r="C29" s="138"/>
      <c r="D29" s="138"/>
      <c r="E29" s="138"/>
      <c r="F29" s="138"/>
      <c r="G29" s="138"/>
      <c r="H29" s="189"/>
      <c r="I29" s="138"/>
      <c r="J29" s="136">
        <f t="shared" si="0"/>
        <v>1.1000000000000001</v>
      </c>
      <c r="K29" s="164"/>
      <c r="L29" s="167"/>
      <c r="M29" s="167"/>
      <c r="N29" s="167"/>
      <c r="O29" s="192">
        <f t="array" ref="O29">INDEX(Tableaux!$H$4:$H$112,MATCH(MIN(ABS(G29-Tableaux!$H$4:$H$112)),ABS(G29-Tableaux!$H$4:$H$112),0))</f>
        <v>0.01</v>
      </c>
      <c r="P29" s="192">
        <f>INDEX(Tableaux!$I$4:$I$112,MATCH(O29,Tableaux!$H$4:$H$112,0))</f>
        <v>0</v>
      </c>
      <c r="Q29" s="127">
        <f t="shared" si="1"/>
        <v>0</v>
      </c>
      <c r="R29" s="128"/>
      <c r="S29" s="129">
        <f t="shared" si="2"/>
        <v>0</v>
      </c>
      <c r="T29" s="130">
        <f t="shared" si="5"/>
        <v>0</v>
      </c>
      <c r="U29" s="131">
        <f>INDEX(Tableaux!$F$6:$F$21,MATCH(I29,Tableaux!$E$6:$E$21,0))</f>
        <v>0</v>
      </c>
      <c r="V29" s="127">
        <f t="shared" si="3"/>
        <v>0</v>
      </c>
      <c r="W29" s="127">
        <f t="shared" si="4"/>
        <v>0</v>
      </c>
      <c r="X29" s="137"/>
      <c r="Y29" s="138"/>
      <c r="Z29" s="138"/>
      <c r="AA29" s="138"/>
      <c r="AB29" s="138"/>
      <c r="AC29" s="138"/>
      <c r="AD29" s="139"/>
    </row>
    <row r="30" spans="1:30" ht="15.75" x14ac:dyDescent="0.25">
      <c r="A30" s="137"/>
      <c r="B30" s="138"/>
      <c r="C30" s="138"/>
      <c r="D30" s="138"/>
      <c r="E30" s="138"/>
      <c r="F30" s="138"/>
      <c r="G30" s="138"/>
      <c r="H30" s="189"/>
      <c r="I30" s="138"/>
      <c r="J30" s="136">
        <f t="shared" si="0"/>
        <v>1.1000000000000001</v>
      </c>
      <c r="K30" s="164"/>
      <c r="L30" s="167"/>
      <c r="M30" s="167"/>
      <c r="N30" s="167"/>
      <c r="O30" s="192">
        <f t="array" ref="O30">INDEX(Tableaux!$H$4:$H$112,MATCH(MIN(ABS(G30-Tableaux!$H$4:$H$112)),ABS(G30-Tableaux!$H$4:$H$112),0))</f>
        <v>0.01</v>
      </c>
      <c r="P30" s="192">
        <f>INDEX(Tableaux!$I$4:$I$112,MATCH(O30,Tableaux!$H$4:$H$112,0))</f>
        <v>0</v>
      </c>
      <c r="Q30" s="127">
        <f t="shared" si="1"/>
        <v>0</v>
      </c>
      <c r="R30" s="128"/>
      <c r="S30" s="129">
        <f t="shared" si="2"/>
        <v>0</v>
      </c>
      <c r="T30" s="130">
        <f t="shared" si="5"/>
        <v>0</v>
      </c>
      <c r="U30" s="131">
        <f>INDEX(Tableaux!$F$6:$F$21,MATCH(I30,Tableaux!$E$6:$E$21,0))</f>
        <v>0</v>
      </c>
      <c r="V30" s="127">
        <f t="shared" si="3"/>
        <v>0</v>
      </c>
      <c r="W30" s="127">
        <f t="shared" si="4"/>
        <v>0</v>
      </c>
      <c r="X30" s="137"/>
      <c r="Y30" s="138"/>
      <c r="Z30" s="138"/>
      <c r="AA30" s="138"/>
      <c r="AB30" s="138"/>
      <c r="AC30" s="138"/>
      <c r="AD30" s="139"/>
    </row>
    <row r="31" spans="1:30" ht="15.75" x14ac:dyDescent="0.25">
      <c r="A31" s="137"/>
      <c r="B31" s="138"/>
      <c r="C31" s="138"/>
      <c r="D31" s="138"/>
      <c r="E31" s="138"/>
      <c r="F31" s="138"/>
      <c r="G31" s="138"/>
      <c r="H31" s="189"/>
      <c r="I31" s="138"/>
      <c r="J31" s="136">
        <f t="shared" si="0"/>
        <v>1.1000000000000001</v>
      </c>
      <c r="K31" s="164"/>
      <c r="L31" s="167"/>
      <c r="M31" s="167"/>
      <c r="N31" s="167"/>
      <c r="O31" s="192">
        <f t="array" ref="O31">INDEX(Tableaux!$H$4:$H$112,MATCH(MIN(ABS(G31-Tableaux!$H$4:$H$112)),ABS(G31-Tableaux!$H$4:$H$112),0))</f>
        <v>0.01</v>
      </c>
      <c r="P31" s="192">
        <f>INDEX(Tableaux!$I$4:$I$112,MATCH(O31,Tableaux!$H$4:$H$112,0))</f>
        <v>0</v>
      </c>
      <c r="Q31" s="127">
        <f t="shared" si="1"/>
        <v>0</v>
      </c>
      <c r="R31" s="128"/>
      <c r="S31" s="129">
        <f t="shared" si="2"/>
        <v>0</v>
      </c>
      <c r="T31" s="130">
        <f t="shared" si="5"/>
        <v>0</v>
      </c>
      <c r="U31" s="131">
        <f>INDEX(Tableaux!$F$6:$F$21,MATCH(I31,Tableaux!$E$6:$E$21,0))</f>
        <v>0</v>
      </c>
      <c r="V31" s="127">
        <f t="shared" si="3"/>
        <v>0</v>
      </c>
      <c r="W31" s="127">
        <f t="shared" si="4"/>
        <v>0</v>
      </c>
      <c r="X31" s="137"/>
      <c r="Y31" s="138"/>
      <c r="Z31" s="138"/>
      <c r="AA31" s="138"/>
      <c r="AB31" s="138"/>
      <c r="AC31" s="138"/>
      <c r="AD31" s="139"/>
    </row>
    <row r="32" spans="1:30" ht="15.75" x14ac:dyDescent="0.25">
      <c r="A32" s="137"/>
      <c r="B32" s="138"/>
      <c r="C32" s="138"/>
      <c r="D32" s="138"/>
      <c r="E32" s="138"/>
      <c r="F32" s="138"/>
      <c r="G32" s="138"/>
      <c r="H32" s="189"/>
      <c r="I32" s="138"/>
      <c r="J32" s="136">
        <f t="shared" si="0"/>
        <v>1.1000000000000001</v>
      </c>
      <c r="K32" s="164"/>
      <c r="L32" s="167"/>
      <c r="M32" s="167"/>
      <c r="N32" s="167"/>
      <c r="O32" s="192">
        <f t="array" ref="O32">INDEX(Tableaux!$H$4:$H$112,MATCH(MIN(ABS(G32-Tableaux!$H$4:$H$112)),ABS(G32-Tableaux!$H$4:$H$112),0))</f>
        <v>0.01</v>
      </c>
      <c r="P32" s="192">
        <f>INDEX(Tableaux!$I$4:$I$112,MATCH(O32,Tableaux!$H$4:$H$112,0))</f>
        <v>0</v>
      </c>
      <c r="Q32" s="127">
        <f t="shared" si="1"/>
        <v>0</v>
      </c>
      <c r="R32" s="128"/>
      <c r="S32" s="129">
        <f t="shared" si="2"/>
        <v>0</v>
      </c>
      <c r="T32" s="130">
        <f t="shared" si="5"/>
        <v>0</v>
      </c>
      <c r="U32" s="131">
        <f>INDEX(Tableaux!$F$6:$F$21,MATCH(I32,Tableaux!$E$6:$E$21,0))</f>
        <v>0</v>
      </c>
      <c r="V32" s="127">
        <f t="shared" si="3"/>
        <v>0</v>
      </c>
      <c r="W32" s="127">
        <f t="shared" si="4"/>
        <v>0</v>
      </c>
      <c r="X32" s="137"/>
      <c r="Y32" s="138"/>
      <c r="Z32" s="138"/>
      <c r="AA32" s="138"/>
      <c r="AB32" s="138"/>
      <c r="AC32" s="138"/>
      <c r="AD32" s="139"/>
    </row>
    <row r="33" spans="1:30" ht="15.75" x14ac:dyDescent="0.25">
      <c r="A33" s="137"/>
      <c r="B33" s="138"/>
      <c r="C33" s="138"/>
      <c r="D33" s="138"/>
      <c r="E33" s="138"/>
      <c r="F33" s="138"/>
      <c r="G33" s="138"/>
      <c r="H33" s="189"/>
      <c r="I33" s="138"/>
      <c r="J33" s="136">
        <f t="shared" si="0"/>
        <v>1.1000000000000001</v>
      </c>
      <c r="K33" s="164"/>
      <c r="L33" s="167"/>
      <c r="M33" s="167"/>
      <c r="N33" s="167"/>
      <c r="O33" s="192">
        <f t="array" ref="O33">INDEX(Tableaux!$H$4:$H$112,MATCH(MIN(ABS(G33-Tableaux!$H$4:$H$112)),ABS(G33-Tableaux!$H$4:$H$112),0))</f>
        <v>0.01</v>
      </c>
      <c r="P33" s="192">
        <f>INDEX(Tableaux!$I$4:$I$112,MATCH(O33,Tableaux!$H$4:$H$112,0))</f>
        <v>0</v>
      </c>
      <c r="Q33" s="127">
        <f t="shared" si="1"/>
        <v>0</v>
      </c>
      <c r="R33" s="128"/>
      <c r="S33" s="129">
        <f t="shared" si="2"/>
        <v>0</v>
      </c>
      <c r="T33" s="130">
        <f t="shared" si="5"/>
        <v>0</v>
      </c>
      <c r="U33" s="131">
        <f>INDEX(Tableaux!$F$6:$F$21,MATCH(I33,Tableaux!$E$6:$E$21,0))</f>
        <v>0</v>
      </c>
      <c r="V33" s="127">
        <f t="shared" si="3"/>
        <v>0</v>
      </c>
      <c r="W33" s="127">
        <f t="shared" si="4"/>
        <v>0</v>
      </c>
      <c r="X33" s="137"/>
      <c r="Y33" s="138"/>
      <c r="Z33" s="138"/>
      <c r="AA33" s="138"/>
      <c r="AB33" s="138"/>
      <c r="AC33" s="138"/>
      <c r="AD33" s="139"/>
    </row>
    <row r="34" spans="1:30" ht="15.75" x14ac:dyDescent="0.25">
      <c r="A34" s="137"/>
      <c r="B34" s="138"/>
      <c r="C34" s="138"/>
      <c r="D34" s="138"/>
      <c r="E34" s="138"/>
      <c r="F34" s="138"/>
      <c r="G34" s="138"/>
      <c r="H34" s="189"/>
      <c r="I34" s="138"/>
      <c r="J34" s="136">
        <f t="shared" si="0"/>
        <v>1.1000000000000001</v>
      </c>
      <c r="K34" s="164"/>
      <c r="L34" s="167"/>
      <c r="M34" s="167"/>
      <c r="N34" s="167"/>
      <c r="O34" s="192">
        <f t="array" ref="O34">INDEX(Tableaux!$H$4:$H$112,MATCH(MIN(ABS(G34-Tableaux!$H$4:$H$112)),ABS(G34-Tableaux!$H$4:$H$112),0))</f>
        <v>0.01</v>
      </c>
      <c r="P34" s="192">
        <f>INDEX(Tableaux!$I$4:$I$112,MATCH(O34,Tableaux!$H$4:$H$112,0))</f>
        <v>0</v>
      </c>
      <c r="Q34" s="127">
        <f t="shared" si="1"/>
        <v>0</v>
      </c>
      <c r="R34" s="128"/>
      <c r="S34" s="129">
        <f t="shared" si="2"/>
        <v>0</v>
      </c>
      <c r="T34" s="130">
        <f t="shared" si="5"/>
        <v>0</v>
      </c>
      <c r="U34" s="131">
        <f>INDEX(Tableaux!$F$6:$F$21,MATCH(I34,Tableaux!$E$6:$E$21,0))</f>
        <v>0</v>
      </c>
      <c r="V34" s="127">
        <f t="shared" si="3"/>
        <v>0</v>
      </c>
      <c r="W34" s="127">
        <f t="shared" si="4"/>
        <v>0</v>
      </c>
      <c r="X34" s="137"/>
      <c r="Y34" s="138"/>
      <c r="Z34" s="138"/>
      <c r="AA34" s="138"/>
      <c r="AB34" s="138"/>
      <c r="AC34" s="138"/>
      <c r="AD34" s="139"/>
    </row>
    <row r="35" spans="1:30" ht="15.75" x14ac:dyDescent="0.25">
      <c r="A35" s="137"/>
      <c r="B35" s="138"/>
      <c r="C35" s="138"/>
      <c r="D35" s="138"/>
      <c r="E35" s="138"/>
      <c r="F35" s="138"/>
      <c r="G35" s="138"/>
      <c r="H35" s="189"/>
      <c r="I35" s="138"/>
      <c r="J35" s="136">
        <f t="shared" si="0"/>
        <v>1.1000000000000001</v>
      </c>
      <c r="K35" s="164"/>
      <c r="L35" s="167"/>
      <c r="M35" s="167"/>
      <c r="N35" s="167"/>
      <c r="O35" s="192">
        <f t="array" ref="O35">INDEX(Tableaux!$H$4:$H$112,MATCH(MIN(ABS(G35-Tableaux!$H$4:$H$112)),ABS(G35-Tableaux!$H$4:$H$112),0))</f>
        <v>0.01</v>
      </c>
      <c r="P35" s="192">
        <f>INDEX(Tableaux!$I$4:$I$112,MATCH(O35,Tableaux!$H$4:$H$112,0))</f>
        <v>0</v>
      </c>
      <c r="Q35" s="127">
        <f t="shared" si="1"/>
        <v>0</v>
      </c>
      <c r="R35" s="128"/>
      <c r="S35" s="129">
        <f t="shared" si="2"/>
        <v>0</v>
      </c>
      <c r="T35" s="130">
        <f t="shared" si="5"/>
        <v>0</v>
      </c>
      <c r="U35" s="131">
        <f>INDEX(Tableaux!$F$6:$F$21,MATCH(I35,Tableaux!$E$6:$E$21,0))</f>
        <v>0</v>
      </c>
      <c r="V35" s="127">
        <f t="shared" si="3"/>
        <v>0</v>
      </c>
      <c r="W35" s="127">
        <f t="shared" si="4"/>
        <v>0</v>
      </c>
      <c r="X35" s="137"/>
      <c r="Y35" s="138"/>
      <c r="Z35" s="138"/>
      <c r="AA35" s="138"/>
      <c r="AB35" s="138"/>
      <c r="AC35" s="138"/>
      <c r="AD35" s="139"/>
    </row>
    <row r="36" spans="1:30" ht="15.75" x14ac:dyDescent="0.25">
      <c r="A36" s="137"/>
      <c r="B36" s="138"/>
      <c r="C36" s="138"/>
      <c r="D36" s="138"/>
      <c r="E36" s="138"/>
      <c r="F36" s="138"/>
      <c r="G36" s="138"/>
      <c r="H36" s="189"/>
      <c r="I36" s="138"/>
      <c r="J36" s="136">
        <f t="shared" si="0"/>
        <v>1.1000000000000001</v>
      </c>
      <c r="K36" s="164"/>
      <c r="L36" s="167"/>
      <c r="M36" s="167"/>
      <c r="N36" s="167"/>
      <c r="O36" s="192">
        <f t="array" ref="O36">INDEX(Tableaux!$H$4:$H$112,MATCH(MIN(ABS(G36-Tableaux!$H$4:$H$112)),ABS(G36-Tableaux!$H$4:$H$112),0))</f>
        <v>0.01</v>
      </c>
      <c r="P36" s="192">
        <f>INDEX(Tableaux!$I$4:$I$112,MATCH(O36,Tableaux!$H$4:$H$112,0))</f>
        <v>0</v>
      </c>
      <c r="Q36" s="127">
        <f t="shared" si="1"/>
        <v>0</v>
      </c>
      <c r="R36" s="128"/>
      <c r="S36" s="129">
        <f t="shared" si="2"/>
        <v>0</v>
      </c>
      <c r="T36" s="130">
        <f t="shared" si="5"/>
        <v>0</v>
      </c>
      <c r="U36" s="131">
        <f>INDEX(Tableaux!$F$6:$F$21,MATCH(I36,Tableaux!$E$6:$E$21,0))</f>
        <v>0</v>
      </c>
      <c r="V36" s="127">
        <f t="shared" si="3"/>
        <v>0</v>
      </c>
      <c r="W36" s="127">
        <f t="shared" si="4"/>
        <v>0</v>
      </c>
      <c r="X36" s="137"/>
      <c r="Y36" s="138"/>
      <c r="Z36" s="138"/>
      <c r="AA36" s="138"/>
      <c r="AB36" s="138"/>
      <c r="AC36" s="138"/>
      <c r="AD36" s="139"/>
    </row>
    <row r="37" spans="1:30" ht="15.75" x14ac:dyDescent="0.25">
      <c r="A37" s="137"/>
      <c r="B37" s="138"/>
      <c r="C37" s="138"/>
      <c r="D37" s="138"/>
      <c r="E37" s="138"/>
      <c r="F37" s="138"/>
      <c r="G37" s="138"/>
      <c r="H37" s="189"/>
      <c r="I37" s="138"/>
      <c r="J37" s="136">
        <f t="shared" si="0"/>
        <v>1.1000000000000001</v>
      </c>
      <c r="K37" s="164"/>
      <c r="L37" s="167"/>
      <c r="M37" s="167"/>
      <c r="N37" s="167"/>
      <c r="O37" s="192">
        <f t="array" ref="O37">INDEX(Tableaux!$H$4:$H$112,MATCH(MIN(ABS(G37-Tableaux!$H$4:$H$112)),ABS(G37-Tableaux!$H$4:$H$112),0))</f>
        <v>0.01</v>
      </c>
      <c r="P37" s="192">
        <f>INDEX(Tableaux!$I$4:$I$112,MATCH(O37,Tableaux!$H$4:$H$112,0))</f>
        <v>0</v>
      </c>
      <c r="Q37" s="127">
        <f t="shared" si="1"/>
        <v>0</v>
      </c>
      <c r="R37" s="128"/>
      <c r="S37" s="129">
        <f t="shared" si="2"/>
        <v>0</v>
      </c>
      <c r="T37" s="130">
        <f t="shared" si="5"/>
        <v>0</v>
      </c>
      <c r="U37" s="131">
        <f>INDEX(Tableaux!$F$6:$F$21,MATCH(I37,Tableaux!$E$6:$E$21,0))</f>
        <v>0</v>
      </c>
      <c r="V37" s="127">
        <f t="shared" si="3"/>
        <v>0</v>
      </c>
      <c r="W37" s="127">
        <f t="shared" si="4"/>
        <v>0</v>
      </c>
      <c r="X37" s="137"/>
      <c r="Y37" s="138"/>
      <c r="Z37" s="138"/>
      <c r="AA37" s="138"/>
      <c r="AB37" s="138"/>
      <c r="AC37" s="138"/>
      <c r="AD37" s="139"/>
    </row>
    <row r="38" spans="1:30" ht="15.75" x14ac:dyDescent="0.25">
      <c r="A38" s="137"/>
      <c r="B38" s="138"/>
      <c r="C38" s="138"/>
      <c r="D38" s="138"/>
      <c r="E38" s="138"/>
      <c r="F38" s="138"/>
      <c r="G38" s="138"/>
      <c r="H38" s="189"/>
      <c r="I38" s="138"/>
      <c r="J38" s="136">
        <f t="shared" si="0"/>
        <v>1.1000000000000001</v>
      </c>
      <c r="K38" s="164"/>
      <c r="L38" s="167"/>
      <c r="M38" s="167"/>
      <c r="N38" s="167"/>
      <c r="O38" s="192">
        <f t="array" ref="O38">INDEX(Tableaux!$H$4:$H$112,MATCH(MIN(ABS(G38-Tableaux!$H$4:$H$112)),ABS(G38-Tableaux!$H$4:$H$112),0))</f>
        <v>0.01</v>
      </c>
      <c r="P38" s="192">
        <f>INDEX(Tableaux!$I$4:$I$112,MATCH(O38,Tableaux!$H$4:$H$112,0))</f>
        <v>0</v>
      </c>
      <c r="Q38" s="127">
        <f t="shared" si="1"/>
        <v>0</v>
      </c>
      <c r="R38" s="128"/>
      <c r="S38" s="129">
        <f t="shared" si="2"/>
        <v>0</v>
      </c>
      <c r="T38" s="130">
        <f t="shared" si="5"/>
        <v>0</v>
      </c>
      <c r="U38" s="131">
        <f>INDEX(Tableaux!$F$6:$F$21,MATCH(I38,Tableaux!$E$6:$E$21,0))</f>
        <v>0</v>
      </c>
      <c r="V38" s="127">
        <f t="shared" si="3"/>
        <v>0</v>
      </c>
      <c r="W38" s="127">
        <f t="shared" si="4"/>
        <v>0</v>
      </c>
      <c r="X38" s="137"/>
      <c r="Y38" s="138"/>
      <c r="Z38" s="138"/>
      <c r="AA38" s="138"/>
      <c r="AB38" s="138"/>
      <c r="AC38" s="138"/>
      <c r="AD38" s="139"/>
    </row>
    <row r="39" spans="1:30" ht="15.75" x14ac:dyDescent="0.25">
      <c r="A39" s="137"/>
      <c r="B39" s="138"/>
      <c r="C39" s="138"/>
      <c r="D39" s="138"/>
      <c r="E39" s="138"/>
      <c r="F39" s="138"/>
      <c r="G39" s="138"/>
      <c r="H39" s="189"/>
      <c r="I39" s="138"/>
      <c r="J39" s="136">
        <f t="shared" si="0"/>
        <v>1.1000000000000001</v>
      </c>
      <c r="K39" s="164"/>
      <c r="L39" s="167"/>
      <c r="M39" s="167"/>
      <c r="N39" s="167"/>
      <c r="O39" s="192">
        <f t="array" ref="O39">INDEX(Tableaux!$H$4:$H$112,MATCH(MIN(ABS(G39-Tableaux!$H$4:$H$112)),ABS(G39-Tableaux!$H$4:$H$112),0))</f>
        <v>0.01</v>
      </c>
      <c r="P39" s="192">
        <f>INDEX(Tableaux!$I$4:$I$112,MATCH(O39,Tableaux!$H$4:$H$112,0))</f>
        <v>0</v>
      </c>
      <c r="Q39" s="127">
        <f t="shared" si="1"/>
        <v>0</v>
      </c>
      <c r="R39" s="128"/>
      <c r="S39" s="129">
        <f t="shared" si="2"/>
        <v>0</v>
      </c>
      <c r="T39" s="130">
        <f t="shared" si="5"/>
        <v>0</v>
      </c>
      <c r="U39" s="131">
        <f>INDEX(Tableaux!$F$6:$F$21,MATCH(I39,Tableaux!$E$6:$E$21,0))</f>
        <v>0</v>
      </c>
      <c r="V39" s="127">
        <f t="shared" si="3"/>
        <v>0</v>
      </c>
      <c r="W39" s="127">
        <f t="shared" si="4"/>
        <v>0</v>
      </c>
      <c r="X39" s="137"/>
      <c r="Y39" s="138"/>
      <c r="Z39" s="138"/>
      <c r="AA39" s="138"/>
      <c r="AB39" s="138"/>
      <c r="AC39" s="138"/>
      <c r="AD39" s="139"/>
    </row>
    <row r="40" spans="1:30" ht="15.75" x14ac:dyDescent="0.25">
      <c r="A40" s="137"/>
      <c r="B40" s="138"/>
      <c r="C40" s="138"/>
      <c r="D40" s="138"/>
      <c r="E40" s="138"/>
      <c r="F40" s="138"/>
      <c r="G40" s="138"/>
      <c r="H40" s="189"/>
      <c r="I40" s="138"/>
      <c r="J40" s="136">
        <f t="shared" si="0"/>
        <v>1.1000000000000001</v>
      </c>
      <c r="K40" s="164"/>
      <c r="L40" s="167"/>
      <c r="M40" s="167"/>
      <c r="N40" s="167"/>
      <c r="O40" s="192">
        <f t="array" ref="O40">INDEX(Tableaux!$H$4:$H$112,MATCH(MIN(ABS(G40-Tableaux!$H$4:$H$112)),ABS(G40-Tableaux!$H$4:$H$112),0))</f>
        <v>0.01</v>
      </c>
      <c r="P40" s="192">
        <f>INDEX(Tableaux!$I$4:$I$112,MATCH(O40,Tableaux!$H$4:$H$112,0))</f>
        <v>0</v>
      </c>
      <c r="Q40" s="127">
        <f t="shared" si="1"/>
        <v>0</v>
      </c>
      <c r="R40" s="128"/>
      <c r="S40" s="129">
        <f t="shared" si="2"/>
        <v>0</v>
      </c>
      <c r="T40" s="130">
        <f t="shared" si="5"/>
        <v>0</v>
      </c>
      <c r="U40" s="131">
        <f>INDEX(Tableaux!$F$6:$F$21,MATCH(I40,Tableaux!$E$6:$E$21,0))</f>
        <v>0</v>
      </c>
      <c r="V40" s="127">
        <f t="shared" si="3"/>
        <v>0</v>
      </c>
      <c r="W40" s="127">
        <f t="shared" si="4"/>
        <v>0</v>
      </c>
      <c r="X40" s="137"/>
      <c r="Y40" s="138"/>
      <c r="Z40" s="138"/>
      <c r="AA40" s="138"/>
      <c r="AB40" s="138"/>
      <c r="AC40" s="138"/>
      <c r="AD40" s="139"/>
    </row>
    <row r="41" spans="1:30" ht="15.75" x14ac:dyDescent="0.25">
      <c r="A41" s="137"/>
      <c r="B41" s="138"/>
      <c r="C41" s="138"/>
      <c r="D41" s="138"/>
      <c r="E41" s="138"/>
      <c r="F41" s="138"/>
      <c r="G41" s="138"/>
      <c r="H41" s="189"/>
      <c r="I41" s="138"/>
      <c r="J41" s="136">
        <f t="shared" si="0"/>
        <v>1.1000000000000001</v>
      </c>
      <c r="K41" s="164"/>
      <c r="L41" s="167"/>
      <c r="M41" s="167"/>
      <c r="N41" s="167"/>
      <c r="O41" s="192">
        <f t="array" ref="O41">INDEX(Tableaux!$H$4:$H$112,MATCH(MIN(ABS(G41-Tableaux!$H$4:$H$112)),ABS(G41-Tableaux!$H$4:$H$112),0))</f>
        <v>0.01</v>
      </c>
      <c r="P41" s="192">
        <f>INDEX(Tableaux!$I$4:$I$112,MATCH(O41,Tableaux!$H$4:$H$112,0))</f>
        <v>0</v>
      </c>
      <c r="Q41" s="127">
        <f t="shared" si="1"/>
        <v>0</v>
      </c>
      <c r="R41" s="128"/>
      <c r="S41" s="129">
        <f t="shared" si="2"/>
        <v>0</v>
      </c>
      <c r="T41" s="130">
        <f t="shared" si="5"/>
        <v>0</v>
      </c>
      <c r="U41" s="131">
        <f>INDEX(Tableaux!$F$6:$F$21,MATCH(I41,Tableaux!$E$6:$E$21,0))</f>
        <v>0</v>
      </c>
      <c r="V41" s="127">
        <f t="shared" si="3"/>
        <v>0</v>
      </c>
      <c r="W41" s="127">
        <f t="shared" si="4"/>
        <v>0</v>
      </c>
      <c r="X41" s="137"/>
      <c r="Y41" s="138"/>
      <c r="Z41" s="138"/>
      <c r="AA41" s="138"/>
      <c r="AB41" s="138"/>
      <c r="AC41" s="138"/>
      <c r="AD41" s="139"/>
    </row>
    <row r="42" spans="1:30" ht="15.75" x14ac:dyDescent="0.25">
      <c r="A42" s="137"/>
      <c r="B42" s="138"/>
      <c r="C42" s="138"/>
      <c r="D42" s="138"/>
      <c r="E42" s="138"/>
      <c r="F42" s="138"/>
      <c r="G42" s="138"/>
      <c r="H42" s="189"/>
      <c r="I42" s="138"/>
      <c r="J42" s="136">
        <f t="shared" si="0"/>
        <v>1.1000000000000001</v>
      </c>
      <c r="K42" s="164"/>
      <c r="L42" s="167"/>
      <c r="M42" s="167"/>
      <c r="N42" s="167"/>
      <c r="O42" s="192">
        <f t="array" ref="O42">INDEX(Tableaux!$H$4:$H$112,MATCH(MIN(ABS(G42-Tableaux!$H$4:$H$112)),ABS(G42-Tableaux!$H$4:$H$112),0))</f>
        <v>0.01</v>
      </c>
      <c r="P42" s="192">
        <f>INDEX(Tableaux!$I$4:$I$112,MATCH(O42,Tableaux!$H$4:$H$112,0))</f>
        <v>0</v>
      </c>
      <c r="Q42" s="127">
        <f t="shared" si="1"/>
        <v>0</v>
      </c>
      <c r="R42" s="128"/>
      <c r="S42" s="129">
        <f t="shared" si="2"/>
        <v>0</v>
      </c>
      <c r="T42" s="130">
        <f t="shared" si="5"/>
        <v>0</v>
      </c>
      <c r="U42" s="131">
        <f>INDEX(Tableaux!$F$6:$F$21,MATCH(I42,Tableaux!$E$6:$E$21,0))</f>
        <v>0</v>
      </c>
      <c r="V42" s="127">
        <f t="shared" si="3"/>
        <v>0</v>
      </c>
      <c r="W42" s="127">
        <f t="shared" si="4"/>
        <v>0</v>
      </c>
      <c r="X42" s="137"/>
      <c r="Y42" s="138"/>
      <c r="Z42" s="138"/>
      <c r="AA42" s="138"/>
      <c r="AB42" s="138"/>
      <c r="AC42" s="138"/>
      <c r="AD42" s="139"/>
    </row>
    <row r="43" spans="1:30" ht="15.75" x14ac:dyDescent="0.25">
      <c r="A43" s="137"/>
      <c r="B43" s="138"/>
      <c r="C43" s="138"/>
      <c r="D43" s="138"/>
      <c r="E43" s="138"/>
      <c r="F43" s="138"/>
      <c r="G43" s="138"/>
      <c r="H43" s="189"/>
      <c r="I43" s="138"/>
      <c r="J43" s="136">
        <f t="shared" ref="J43:J59" si="6">$M$9</f>
        <v>1.1000000000000001</v>
      </c>
      <c r="K43" s="164"/>
      <c r="L43" s="167"/>
      <c r="M43" s="167"/>
      <c r="N43" s="167"/>
      <c r="O43" s="192">
        <f t="array" ref="O43">INDEX(Tableaux!$H$4:$H$112,MATCH(MIN(ABS(G43-Tableaux!$H$4:$H$112)),ABS(G43-Tableaux!$H$4:$H$112),0))</f>
        <v>0.01</v>
      </c>
      <c r="P43" s="192">
        <f>INDEX(Tableaux!$I$4:$I$112,MATCH(O43,Tableaux!$H$4:$H$112,0))</f>
        <v>0</v>
      </c>
      <c r="Q43" s="127">
        <f t="shared" si="1"/>
        <v>0</v>
      </c>
      <c r="R43" s="128"/>
      <c r="S43" s="129">
        <f t="shared" si="2"/>
        <v>0</v>
      </c>
      <c r="T43" s="130">
        <f t="shared" si="5"/>
        <v>0</v>
      </c>
      <c r="U43" s="131">
        <f>INDEX(Tableaux!$F$6:$F$21,MATCH(I43,Tableaux!$E$6:$E$21,0))</f>
        <v>0</v>
      </c>
      <c r="V43" s="127">
        <f t="shared" ref="V43:V59" si="7">ROUND(S43*U43*J43,2)</f>
        <v>0</v>
      </c>
      <c r="W43" s="127">
        <f t="shared" ref="W43:W59" si="8">F43*P43</f>
        <v>0</v>
      </c>
      <c r="X43" s="137"/>
      <c r="Y43" s="138"/>
      <c r="Z43" s="138"/>
      <c r="AA43" s="138"/>
      <c r="AB43" s="138"/>
      <c r="AC43" s="138"/>
      <c r="AD43" s="139"/>
    </row>
    <row r="44" spans="1:30" ht="15.75" x14ac:dyDescent="0.25">
      <c r="A44" s="137"/>
      <c r="B44" s="138"/>
      <c r="C44" s="138"/>
      <c r="D44" s="138"/>
      <c r="E44" s="138"/>
      <c r="F44" s="138"/>
      <c r="G44" s="138"/>
      <c r="H44" s="189"/>
      <c r="I44" s="138"/>
      <c r="J44" s="136">
        <f t="shared" si="6"/>
        <v>1.1000000000000001</v>
      </c>
      <c r="K44" s="164"/>
      <c r="L44" s="167"/>
      <c r="M44" s="167"/>
      <c r="N44" s="167"/>
      <c r="O44" s="192">
        <f t="array" ref="O44">INDEX(Tableaux!$H$4:$H$112,MATCH(MIN(ABS(G44-Tableaux!$H$4:$H$112)),ABS(G44-Tableaux!$H$4:$H$112),0))</f>
        <v>0.01</v>
      </c>
      <c r="P44" s="192">
        <f>INDEX(Tableaux!$I$4:$I$112,MATCH(O44,Tableaux!$H$4:$H$112,0))</f>
        <v>0</v>
      </c>
      <c r="Q44" s="127">
        <f t="shared" si="1"/>
        <v>0</v>
      </c>
      <c r="R44" s="128"/>
      <c r="S44" s="129">
        <f t="shared" si="2"/>
        <v>0</v>
      </c>
      <c r="T44" s="130">
        <f t="shared" si="5"/>
        <v>0</v>
      </c>
      <c r="U44" s="131">
        <f>INDEX(Tableaux!$F$6:$F$21,MATCH(I44,Tableaux!$E$6:$E$21,0))</f>
        <v>0</v>
      </c>
      <c r="V44" s="127">
        <f t="shared" si="7"/>
        <v>0</v>
      </c>
      <c r="W44" s="127">
        <f t="shared" si="8"/>
        <v>0</v>
      </c>
      <c r="X44" s="137"/>
      <c r="Y44" s="138"/>
      <c r="Z44" s="138"/>
      <c r="AA44" s="138"/>
      <c r="AB44" s="138"/>
      <c r="AC44" s="138"/>
      <c r="AD44" s="139"/>
    </row>
    <row r="45" spans="1:30" ht="15.75" x14ac:dyDescent="0.25">
      <c r="A45" s="137"/>
      <c r="B45" s="138"/>
      <c r="C45" s="138"/>
      <c r="D45" s="138"/>
      <c r="E45" s="138"/>
      <c r="F45" s="138"/>
      <c r="G45" s="138"/>
      <c r="H45" s="189"/>
      <c r="I45" s="138"/>
      <c r="J45" s="136">
        <f t="shared" si="6"/>
        <v>1.1000000000000001</v>
      </c>
      <c r="K45" s="164"/>
      <c r="L45" s="167"/>
      <c r="M45" s="167"/>
      <c r="N45" s="167"/>
      <c r="O45" s="192">
        <f t="array" ref="O45">INDEX(Tableaux!$H$4:$H$112,MATCH(MIN(ABS(G45-Tableaux!$H$4:$H$112)),ABS(G45-Tableaux!$H$4:$H$112),0))</f>
        <v>0.01</v>
      </c>
      <c r="P45" s="192">
        <f>INDEX(Tableaux!$I$4:$I$112,MATCH(O45,Tableaux!$H$4:$H$112,0))</f>
        <v>0</v>
      </c>
      <c r="Q45" s="127">
        <f t="shared" si="1"/>
        <v>0</v>
      </c>
      <c r="R45" s="128"/>
      <c r="S45" s="129">
        <f t="shared" si="2"/>
        <v>0</v>
      </c>
      <c r="T45" s="130">
        <f t="shared" si="5"/>
        <v>0</v>
      </c>
      <c r="U45" s="131">
        <f>INDEX(Tableaux!$F$6:$F$21,MATCH(I45,Tableaux!$E$6:$E$21,0))</f>
        <v>0</v>
      </c>
      <c r="V45" s="127">
        <f t="shared" si="7"/>
        <v>0</v>
      </c>
      <c r="W45" s="127">
        <f t="shared" si="8"/>
        <v>0</v>
      </c>
      <c r="X45" s="137"/>
      <c r="Y45" s="138"/>
      <c r="Z45" s="138"/>
      <c r="AA45" s="138"/>
      <c r="AB45" s="138"/>
      <c r="AC45" s="138"/>
      <c r="AD45" s="139"/>
    </row>
    <row r="46" spans="1:30" ht="15.75" x14ac:dyDescent="0.25">
      <c r="A46" s="137"/>
      <c r="B46" s="138"/>
      <c r="C46" s="138"/>
      <c r="D46" s="138"/>
      <c r="E46" s="138"/>
      <c r="F46" s="138"/>
      <c r="G46" s="138"/>
      <c r="H46" s="189"/>
      <c r="I46" s="138"/>
      <c r="J46" s="136">
        <f t="shared" si="6"/>
        <v>1.1000000000000001</v>
      </c>
      <c r="K46" s="164"/>
      <c r="L46" s="167"/>
      <c r="M46" s="167"/>
      <c r="N46" s="167"/>
      <c r="O46" s="192">
        <f t="array" ref="O46">INDEX(Tableaux!$H$4:$H$112,MATCH(MIN(ABS(G46-Tableaux!$H$4:$H$112)),ABS(G46-Tableaux!$H$4:$H$112),0))</f>
        <v>0.01</v>
      </c>
      <c r="P46" s="192">
        <f>INDEX(Tableaux!$I$4:$I$112,MATCH(O46,Tableaux!$H$4:$H$112,0))</f>
        <v>0</v>
      </c>
      <c r="Q46" s="127">
        <f t="shared" si="1"/>
        <v>0</v>
      </c>
      <c r="R46" s="128"/>
      <c r="S46" s="129">
        <f t="shared" si="2"/>
        <v>0</v>
      </c>
      <c r="T46" s="130">
        <f t="shared" si="5"/>
        <v>0</v>
      </c>
      <c r="U46" s="131">
        <f>INDEX(Tableaux!$F$6:$F$21,MATCH(I46,Tableaux!$E$6:$E$21,0))</f>
        <v>0</v>
      </c>
      <c r="V46" s="127">
        <f t="shared" si="7"/>
        <v>0</v>
      </c>
      <c r="W46" s="127">
        <f t="shared" si="8"/>
        <v>0</v>
      </c>
      <c r="X46" s="137"/>
      <c r="Y46" s="138"/>
      <c r="Z46" s="138"/>
      <c r="AA46" s="138"/>
      <c r="AB46" s="138"/>
      <c r="AC46" s="138"/>
      <c r="AD46" s="139"/>
    </row>
    <row r="47" spans="1:30" ht="15.75" x14ac:dyDescent="0.25">
      <c r="A47" s="137"/>
      <c r="B47" s="138"/>
      <c r="C47" s="138"/>
      <c r="D47" s="138"/>
      <c r="E47" s="138"/>
      <c r="F47" s="138"/>
      <c r="G47" s="138"/>
      <c r="H47" s="189"/>
      <c r="I47" s="138"/>
      <c r="J47" s="136">
        <f t="shared" si="6"/>
        <v>1.1000000000000001</v>
      </c>
      <c r="K47" s="164"/>
      <c r="L47" s="167"/>
      <c r="M47" s="167"/>
      <c r="N47" s="167"/>
      <c r="O47" s="192">
        <f t="array" ref="O47">INDEX(Tableaux!$H$4:$H$112,MATCH(MIN(ABS(G47-Tableaux!$H$4:$H$112)),ABS(G47-Tableaux!$H$4:$H$112),0))</f>
        <v>0.01</v>
      </c>
      <c r="P47" s="192">
        <f>INDEX(Tableaux!$I$4:$I$112,MATCH(O47,Tableaux!$H$4:$H$112,0))</f>
        <v>0</v>
      </c>
      <c r="Q47" s="127">
        <f t="shared" si="1"/>
        <v>0</v>
      </c>
      <c r="R47" s="128"/>
      <c r="S47" s="129">
        <f t="shared" si="2"/>
        <v>0</v>
      </c>
      <c r="T47" s="130">
        <f t="shared" si="5"/>
        <v>0</v>
      </c>
      <c r="U47" s="131">
        <f>INDEX(Tableaux!$F$6:$F$21,MATCH(I47,Tableaux!$E$6:$E$21,0))</f>
        <v>0</v>
      </c>
      <c r="V47" s="127">
        <f t="shared" si="7"/>
        <v>0</v>
      </c>
      <c r="W47" s="127">
        <f t="shared" si="8"/>
        <v>0</v>
      </c>
      <c r="X47" s="137"/>
      <c r="Y47" s="138"/>
      <c r="Z47" s="138"/>
      <c r="AA47" s="138"/>
      <c r="AB47" s="138"/>
      <c r="AC47" s="138"/>
      <c r="AD47" s="139"/>
    </row>
    <row r="48" spans="1:30" ht="15.75" x14ac:dyDescent="0.25">
      <c r="A48" s="137"/>
      <c r="B48" s="138"/>
      <c r="C48" s="138"/>
      <c r="D48" s="138"/>
      <c r="E48" s="138"/>
      <c r="F48" s="138"/>
      <c r="G48" s="138"/>
      <c r="H48" s="189"/>
      <c r="I48" s="138"/>
      <c r="J48" s="136">
        <f t="shared" si="6"/>
        <v>1.1000000000000001</v>
      </c>
      <c r="K48" s="164"/>
      <c r="L48" s="167"/>
      <c r="M48" s="167"/>
      <c r="N48" s="167"/>
      <c r="O48" s="192">
        <f t="array" ref="O48">INDEX(Tableaux!$H$4:$H$112,MATCH(MIN(ABS(G48-Tableaux!$H$4:$H$112)),ABS(G48-Tableaux!$H$4:$H$112),0))</f>
        <v>0.01</v>
      </c>
      <c r="P48" s="192">
        <f>INDEX(Tableaux!$I$4:$I$112,MATCH(O48,Tableaux!$H$4:$H$112,0))</f>
        <v>0</v>
      </c>
      <c r="Q48" s="127">
        <f t="shared" si="1"/>
        <v>0</v>
      </c>
      <c r="R48" s="128"/>
      <c r="S48" s="129">
        <f t="shared" si="2"/>
        <v>0</v>
      </c>
      <c r="T48" s="130">
        <f t="shared" si="5"/>
        <v>0</v>
      </c>
      <c r="U48" s="131">
        <f>INDEX(Tableaux!$F$6:$F$21,MATCH(I48,Tableaux!$E$6:$E$21,0))</f>
        <v>0</v>
      </c>
      <c r="V48" s="127">
        <f t="shared" si="7"/>
        <v>0</v>
      </c>
      <c r="W48" s="127">
        <f t="shared" si="8"/>
        <v>0</v>
      </c>
      <c r="X48" s="137"/>
      <c r="Y48" s="138"/>
      <c r="Z48" s="138"/>
      <c r="AA48" s="138"/>
      <c r="AB48" s="138"/>
      <c r="AC48" s="138"/>
      <c r="AD48" s="139"/>
    </row>
    <row r="49" spans="1:30" ht="15.75" x14ac:dyDescent="0.25">
      <c r="A49" s="137"/>
      <c r="B49" s="138"/>
      <c r="C49" s="138"/>
      <c r="D49" s="138"/>
      <c r="E49" s="138"/>
      <c r="F49" s="138"/>
      <c r="G49" s="138"/>
      <c r="H49" s="189"/>
      <c r="I49" s="138"/>
      <c r="J49" s="136">
        <f t="shared" si="6"/>
        <v>1.1000000000000001</v>
      </c>
      <c r="K49" s="164"/>
      <c r="L49" s="167"/>
      <c r="M49" s="167"/>
      <c r="N49" s="167"/>
      <c r="O49" s="192">
        <f t="array" ref="O49">INDEX(Tableaux!$H$4:$H$112,MATCH(MIN(ABS(G49-Tableaux!$H$4:$H$112)),ABS(G49-Tableaux!$H$4:$H$112),0))</f>
        <v>0.01</v>
      </c>
      <c r="P49" s="192">
        <f>INDEX(Tableaux!$I$4:$I$112,MATCH(O49,Tableaux!$H$4:$H$112,0))</f>
        <v>0</v>
      </c>
      <c r="Q49" s="127">
        <f t="shared" si="1"/>
        <v>0</v>
      </c>
      <c r="R49" s="128"/>
      <c r="S49" s="129">
        <f t="shared" si="2"/>
        <v>0</v>
      </c>
      <c r="T49" s="130">
        <f t="shared" si="5"/>
        <v>0</v>
      </c>
      <c r="U49" s="131">
        <f>INDEX(Tableaux!$F$6:$F$21,MATCH(I49,Tableaux!$E$6:$E$21,0))</f>
        <v>0</v>
      </c>
      <c r="V49" s="127">
        <f t="shared" si="7"/>
        <v>0</v>
      </c>
      <c r="W49" s="127">
        <f t="shared" si="8"/>
        <v>0</v>
      </c>
      <c r="X49" s="137"/>
      <c r="Y49" s="138"/>
      <c r="Z49" s="138"/>
      <c r="AA49" s="138"/>
      <c r="AB49" s="138"/>
      <c r="AC49" s="138"/>
      <c r="AD49" s="139"/>
    </row>
    <row r="50" spans="1:30" ht="15.75" x14ac:dyDescent="0.25">
      <c r="A50" s="137"/>
      <c r="B50" s="138"/>
      <c r="C50" s="138"/>
      <c r="D50" s="138"/>
      <c r="E50" s="138"/>
      <c r="F50" s="138"/>
      <c r="G50" s="138"/>
      <c r="H50" s="189"/>
      <c r="I50" s="138"/>
      <c r="J50" s="136">
        <f t="shared" si="6"/>
        <v>1.1000000000000001</v>
      </c>
      <c r="K50" s="164"/>
      <c r="L50" s="167"/>
      <c r="M50" s="167"/>
      <c r="N50" s="167"/>
      <c r="O50" s="192">
        <f t="array" ref="O50">INDEX(Tableaux!$H$4:$H$112,MATCH(MIN(ABS(G50-Tableaux!$H$4:$H$112)),ABS(G50-Tableaux!$H$4:$H$112),0))</f>
        <v>0.01</v>
      </c>
      <c r="P50" s="192">
        <f>INDEX(Tableaux!$I$4:$I$112,MATCH(O50,Tableaux!$H$4:$H$112,0))</f>
        <v>0</v>
      </c>
      <c r="Q50" s="127">
        <f t="shared" si="1"/>
        <v>0</v>
      </c>
      <c r="R50" s="128"/>
      <c r="S50" s="129">
        <f t="shared" si="2"/>
        <v>0</v>
      </c>
      <c r="T50" s="130">
        <f t="shared" si="5"/>
        <v>0</v>
      </c>
      <c r="U50" s="131">
        <f>INDEX(Tableaux!$F$6:$F$21,MATCH(I50,Tableaux!$E$6:$E$21,0))</f>
        <v>0</v>
      </c>
      <c r="V50" s="127">
        <f t="shared" si="7"/>
        <v>0</v>
      </c>
      <c r="W50" s="127">
        <f t="shared" si="8"/>
        <v>0</v>
      </c>
      <c r="X50" s="137"/>
      <c r="Y50" s="138"/>
      <c r="Z50" s="138"/>
      <c r="AA50" s="138"/>
      <c r="AB50" s="138"/>
      <c r="AC50" s="138"/>
      <c r="AD50" s="139"/>
    </row>
    <row r="51" spans="1:30" ht="15.75" x14ac:dyDescent="0.25">
      <c r="A51" s="137"/>
      <c r="B51" s="138"/>
      <c r="C51" s="138"/>
      <c r="D51" s="138"/>
      <c r="E51" s="138"/>
      <c r="F51" s="138"/>
      <c r="G51" s="138"/>
      <c r="H51" s="189"/>
      <c r="I51" s="138"/>
      <c r="J51" s="136">
        <f t="shared" si="6"/>
        <v>1.1000000000000001</v>
      </c>
      <c r="K51" s="164"/>
      <c r="L51" s="167"/>
      <c r="M51" s="167"/>
      <c r="N51" s="167"/>
      <c r="O51" s="192">
        <f t="array" ref="O51">INDEX(Tableaux!$H$4:$H$112,MATCH(MIN(ABS(G51-Tableaux!$H$4:$H$112)),ABS(G51-Tableaux!$H$4:$H$112),0))</f>
        <v>0.01</v>
      </c>
      <c r="P51" s="192">
        <f>INDEX(Tableaux!$I$4:$I$112,MATCH(O51,Tableaux!$H$4:$H$112,0))</f>
        <v>0</v>
      </c>
      <c r="Q51" s="127">
        <f t="shared" si="1"/>
        <v>0</v>
      </c>
      <c r="R51" s="128"/>
      <c r="S51" s="129">
        <f t="shared" si="2"/>
        <v>0</v>
      </c>
      <c r="T51" s="130">
        <f t="shared" si="5"/>
        <v>0</v>
      </c>
      <c r="U51" s="131">
        <f>INDEX(Tableaux!$F$6:$F$21,MATCH(I51,Tableaux!$E$6:$E$21,0))</f>
        <v>0</v>
      </c>
      <c r="V51" s="127">
        <f t="shared" si="7"/>
        <v>0</v>
      </c>
      <c r="W51" s="127">
        <f t="shared" si="8"/>
        <v>0</v>
      </c>
      <c r="X51" s="137"/>
      <c r="Y51" s="138"/>
      <c r="Z51" s="138"/>
      <c r="AA51" s="138"/>
      <c r="AB51" s="138"/>
      <c r="AC51" s="138"/>
      <c r="AD51" s="139"/>
    </row>
    <row r="52" spans="1:30" ht="15.75" x14ac:dyDescent="0.25">
      <c r="A52" s="137"/>
      <c r="B52" s="138"/>
      <c r="C52" s="138"/>
      <c r="D52" s="138"/>
      <c r="E52" s="138"/>
      <c r="F52" s="138"/>
      <c r="G52" s="138"/>
      <c r="H52" s="189"/>
      <c r="I52" s="138"/>
      <c r="J52" s="136">
        <f t="shared" si="6"/>
        <v>1.1000000000000001</v>
      </c>
      <c r="K52" s="164"/>
      <c r="L52" s="167"/>
      <c r="M52" s="167"/>
      <c r="N52" s="167"/>
      <c r="O52" s="192">
        <f t="array" ref="O52">INDEX(Tableaux!$H$4:$H$112,MATCH(MIN(ABS(G52-Tableaux!$H$4:$H$112)),ABS(G52-Tableaux!$H$4:$H$112),0))</f>
        <v>0.01</v>
      </c>
      <c r="P52" s="192">
        <f>INDEX(Tableaux!$I$4:$I$112,MATCH(O52,Tableaux!$H$4:$H$112,0))</f>
        <v>0</v>
      </c>
      <c r="Q52" s="127">
        <f t="shared" si="1"/>
        <v>0</v>
      </c>
      <c r="R52" s="128"/>
      <c r="S52" s="129">
        <f t="shared" si="2"/>
        <v>0</v>
      </c>
      <c r="T52" s="130">
        <f t="shared" si="5"/>
        <v>0</v>
      </c>
      <c r="U52" s="131">
        <f>INDEX(Tableaux!$F$6:$F$21,MATCH(I52,Tableaux!$E$6:$E$21,0))</f>
        <v>0</v>
      </c>
      <c r="V52" s="127">
        <f t="shared" si="7"/>
        <v>0</v>
      </c>
      <c r="W52" s="127">
        <f t="shared" si="8"/>
        <v>0</v>
      </c>
      <c r="X52" s="137"/>
      <c r="Y52" s="138"/>
      <c r="Z52" s="138"/>
      <c r="AA52" s="138"/>
      <c r="AB52" s="138"/>
      <c r="AC52" s="138"/>
      <c r="AD52" s="139"/>
    </row>
    <row r="53" spans="1:30" ht="15.75" x14ac:dyDescent="0.25">
      <c r="A53" s="137"/>
      <c r="B53" s="138"/>
      <c r="C53" s="138"/>
      <c r="D53" s="138"/>
      <c r="E53" s="138"/>
      <c r="F53" s="138"/>
      <c r="G53" s="138"/>
      <c r="H53" s="189"/>
      <c r="I53" s="138"/>
      <c r="J53" s="136">
        <f t="shared" si="6"/>
        <v>1.1000000000000001</v>
      </c>
      <c r="K53" s="164"/>
      <c r="L53" s="167"/>
      <c r="M53" s="167"/>
      <c r="N53" s="167"/>
      <c r="O53" s="192">
        <f t="array" ref="O53">INDEX(Tableaux!$H$4:$H$112,MATCH(MIN(ABS(G53-Tableaux!$H$4:$H$112)),ABS(G53-Tableaux!$H$4:$H$112),0))</f>
        <v>0.01</v>
      </c>
      <c r="P53" s="192">
        <f>INDEX(Tableaux!$I$4:$I$112,MATCH(O53,Tableaux!$H$4:$H$112,0))</f>
        <v>0</v>
      </c>
      <c r="Q53" s="127">
        <f t="shared" si="1"/>
        <v>0</v>
      </c>
      <c r="R53" s="128"/>
      <c r="S53" s="129">
        <f t="shared" si="2"/>
        <v>0</v>
      </c>
      <c r="T53" s="130">
        <f t="shared" si="5"/>
        <v>0</v>
      </c>
      <c r="U53" s="131">
        <f>INDEX(Tableaux!$F$6:$F$21,MATCH(I53,Tableaux!$E$6:$E$21,0))</f>
        <v>0</v>
      </c>
      <c r="V53" s="127">
        <f t="shared" si="7"/>
        <v>0</v>
      </c>
      <c r="W53" s="127">
        <f t="shared" si="8"/>
        <v>0</v>
      </c>
      <c r="X53" s="137"/>
      <c r="Y53" s="138"/>
      <c r="Z53" s="138"/>
      <c r="AA53" s="138"/>
      <c r="AB53" s="138"/>
      <c r="AC53" s="138"/>
      <c r="AD53" s="139"/>
    </row>
    <row r="54" spans="1:30" ht="15.75" x14ac:dyDescent="0.25">
      <c r="A54" s="137"/>
      <c r="B54" s="138"/>
      <c r="C54" s="138"/>
      <c r="D54" s="138"/>
      <c r="E54" s="138"/>
      <c r="F54" s="138"/>
      <c r="G54" s="138"/>
      <c r="H54" s="189"/>
      <c r="I54" s="138"/>
      <c r="J54" s="136">
        <f t="shared" si="6"/>
        <v>1.1000000000000001</v>
      </c>
      <c r="K54" s="164"/>
      <c r="L54" s="167"/>
      <c r="M54" s="167"/>
      <c r="N54" s="167"/>
      <c r="O54" s="192">
        <f t="array" ref="O54">INDEX(Tableaux!$H$4:$H$112,MATCH(MIN(ABS(G54-Tableaux!$H$4:$H$112)),ABS(G54-Tableaux!$H$4:$H$112),0))</f>
        <v>0.01</v>
      </c>
      <c r="P54" s="192">
        <f>INDEX(Tableaux!$I$4:$I$112,MATCH(O54,Tableaux!$H$4:$H$112,0))</f>
        <v>0</v>
      </c>
      <c r="Q54" s="127">
        <f t="shared" si="1"/>
        <v>0</v>
      </c>
      <c r="R54" s="128"/>
      <c r="S54" s="129">
        <f t="shared" si="2"/>
        <v>0</v>
      </c>
      <c r="T54" s="130">
        <f t="shared" si="5"/>
        <v>0</v>
      </c>
      <c r="U54" s="131">
        <f>INDEX(Tableaux!$F$6:$F$21,MATCH(I54,Tableaux!$E$6:$E$21,0))</f>
        <v>0</v>
      </c>
      <c r="V54" s="127">
        <f t="shared" si="7"/>
        <v>0</v>
      </c>
      <c r="W54" s="127">
        <f t="shared" si="8"/>
        <v>0</v>
      </c>
      <c r="X54" s="137"/>
      <c r="Y54" s="138"/>
      <c r="Z54" s="138"/>
      <c r="AA54" s="138"/>
      <c r="AB54" s="138"/>
      <c r="AC54" s="138"/>
      <c r="AD54" s="139"/>
    </row>
    <row r="55" spans="1:30" ht="15.75" x14ac:dyDescent="0.25">
      <c r="A55" s="137"/>
      <c r="B55" s="138"/>
      <c r="C55" s="138"/>
      <c r="D55" s="138"/>
      <c r="E55" s="138"/>
      <c r="F55" s="138"/>
      <c r="G55" s="138"/>
      <c r="H55" s="189"/>
      <c r="I55" s="138"/>
      <c r="J55" s="136">
        <f t="shared" si="6"/>
        <v>1.1000000000000001</v>
      </c>
      <c r="K55" s="164"/>
      <c r="L55" s="167"/>
      <c r="M55" s="167"/>
      <c r="N55" s="167"/>
      <c r="O55" s="192">
        <f t="array" ref="O55">INDEX(Tableaux!$H$4:$H$112,MATCH(MIN(ABS(G55-Tableaux!$H$4:$H$112)),ABS(G55-Tableaux!$H$4:$H$112),0))</f>
        <v>0.01</v>
      </c>
      <c r="P55" s="192">
        <f>INDEX(Tableaux!$I$4:$I$112,MATCH(O55,Tableaux!$H$4:$H$112,0))</f>
        <v>0</v>
      </c>
      <c r="Q55" s="127">
        <f t="shared" si="1"/>
        <v>0</v>
      </c>
      <c r="R55" s="128"/>
      <c r="S55" s="129">
        <f t="shared" si="2"/>
        <v>0</v>
      </c>
      <c r="T55" s="130">
        <f t="shared" si="5"/>
        <v>0</v>
      </c>
      <c r="U55" s="131">
        <f>INDEX(Tableaux!$F$6:$F$21,MATCH(I55,Tableaux!$E$6:$E$21,0))</f>
        <v>0</v>
      </c>
      <c r="V55" s="127">
        <f t="shared" si="7"/>
        <v>0</v>
      </c>
      <c r="W55" s="127">
        <f t="shared" si="8"/>
        <v>0</v>
      </c>
      <c r="X55" s="137"/>
      <c r="Y55" s="138"/>
      <c r="Z55" s="138"/>
      <c r="AA55" s="138"/>
      <c r="AB55" s="138"/>
      <c r="AC55" s="138"/>
      <c r="AD55" s="139"/>
    </row>
    <row r="56" spans="1:30" ht="15.75" x14ac:dyDescent="0.25">
      <c r="A56" s="137"/>
      <c r="B56" s="138"/>
      <c r="C56" s="138"/>
      <c r="D56" s="138"/>
      <c r="E56" s="138"/>
      <c r="F56" s="138"/>
      <c r="G56" s="138"/>
      <c r="H56" s="189"/>
      <c r="I56" s="138"/>
      <c r="J56" s="136">
        <f t="shared" si="6"/>
        <v>1.1000000000000001</v>
      </c>
      <c r="K56" s="164"/>
      <c r="L56" s="167"/>
      <c r="M56" s="167"/>
      <c r="N56" s="167"/>
      <c r="O56" s="192">
        <f t="array" ref="O56">INDEX(Tableaux!$H$4:$H$112,MATCH(MIN(ABS(G56-Tableaux!$H$4:$H$112)),ABS(G56-Tableaux!$H$4:$H$112),0))</f>
        <v>0.01</v>
      </c>
      <c r="P56" s="192">
        <f>INDEX(Tableaux!$I$4:$I$112,MATCH(O56,Tableaux!$H$4:$H$112,0))</f>
        <v>0</v>
      </c>
      <c r="Q56" s="127">
        <f t="shared" si="1"/>
        <v>0</v>
      </c>
      <c r="R56" s="128"/>
      <c r="S56" s="129">
        <f t="shared" si="2"/>
        <v>0</v>
      </c>
      <c r="T56" s="130">
        <f t="shared" si="5"/>
        <v>0</v>
      </c>
      <c r="U56" s="131">
        <f>INDEX(Tableaux!$F$6:$F$21,MATCH(I56,Tableaux!$E$6:$E$21,0))</f>
        <v>0</v>
      </c>
      <c r="V56" s="127">
        <f t="shared" si="7"/>
        <v>0</v>
      </c>
      <c r="W56" s="127">
        <f t="shared" si="8"/>
        <v>0</v>
      </c>
      <c r="X56" s="137"/>
      <c r="Y56" s="138"/>
      <c r="Z56" s="138"/>
      <c r="AA56" s="138"/>
      <c r="AB56" s="138"/>
      <c r="AC56" s="138"/>
      <c r="AD56" s="139"/>
    </row>
    <row r="57" spans="1:30" ht="15.75" x14ac:dyDescent="0.25">
      <c r="A57" s="137"/>
      <c r="B57" s="138"/>
      <c r="C57" s="138"/>
      <c r="D57" s="138"/>
      <c r="E57" s="138"/>
      <c r="F57" s="138"/>
      <c r="G57" s="138"/>
      <c r="H57" s="189"/>
      <c r="I57" s="138"/>
      <c r="J57" s="136">
        <f t="shared" si="6"/>
        <v>1.1000000000000001</v>
      </c>
      <c r="K57" s="164"/>
      <c r="L57" s="167"/>
      <c r="M57" s="167"/>
      <c r="N57" s="167"/>
      <c r="O57" s="192">
        <f t="array" ref="O57">INDEX(Tableaux!$H$4:$H$112,MATCH(MIN(ABS(G57-Tableaux!$H$4:$H$112)),ABS(G57-Tableaux!$H$4:$H$112),0))</f>
        <v>0.01</v>
      </c>
      <c r="P57" s="192">
        <f>INDEX(Tableaux!$I$4:$I$112,MATCH(O57,Tableaux!$H$4:$H$112,0))</f>
        <v>0</v>
      </c>
      <c r="Q57" s="127">
        <f t="shared" si="1"/>
        <v>0</v>
      </c>
      <c r="R57" s="128"/>
      <c r="S57" s="129">
        <f t="shared" si="2"/>
        <v>0</v>
      </c>
      <c r="T57" s="130">
        <f t="shared" si="5"/>
        <v>0</v>
      </c>
      <c r="U57" s="131">
        <f>INDEX(Tableaux!$F$6:$F$21,MATCH(I57,Tableaux!$E$6:$E$21,0))</f>
        <v>0</v>
      </c>
      <c r="V57" s="127">
        <f t="shared" si="7"/>
        <v>0</v>
      </c>
      <c r="W57" s="127">
        <f t="shared" si="8"/>
        <v>0</v>
      </c>
      <c r="X57" s="137"/>
      <c r="Y57" s="138"/>
      <c r="Z57" s="138"/>
      <c r="AA57" s="138"/>
      <c r="AB57" s="138"/>
      <c r="AC57" s="138"/>
      <c r="AD57" s="139"/>
    </row>
    <row r="58" spans="1:30" ht="15.75" customHeight="1" x14ac:dyDescent="0.25">
      <c r="A58" s="137"/>
      <c r="B58" s="138"/>
      <c r="C58" s="138"/>
      <c r="D58" s="138"/>
      <c r="E58" s="138"/>
      <c r="F58" s="138"/>
      <c r="G58" s="138"/>
      <c r="H58" s="189"/>
      <c r="I58" s="138"/>
      <c r="J58" s="136">
        <f t="shared" si="6"/>
        <v>1.1000000000000001</v>
      </c>
      <c r="K58" s="164"/>
      <c r="L58" s="167"/>
      <c r="M58" s="167"/>
      <c r="N58" s="167"/>
      <c r="O58" s="192">
        <f t="array" ref="O58">INDEX(Tableaux!$H$4:$H$112,MATCH(MIN(ABS(G58-Tableaux!$H$4:$H$112)),ABS(G58-Tableaux!$H$4:$H$112),0))</f>
        <v>0.01</v>
      </c>
      <c r="P58" s="192">
        <f>INDEX(Tableaux!$I$4:$I$112,MATCH(O58,Tableaux!$H$4:$H$112,0))</f>
        <v>0</v>
      </c>
      <c r="Q58" s="127">
        <f t="shared" si="1"/>
        <v>0</v>
      </c>
      <c r="R58" s="128"/>
      <c r="S58" s="129">
        <f t="shared" si="2"/>
        <v>0</v>
      </c>
      <c r="T58" s="130">
        <f t="shared" si="5"/>
        <v>0</v>
      </c>
      <c r="U58" s="131">
        <f>INDEX(Tableaux!$F$6:$F$21,MATCH(I58,Tableaux!$E$6:$E$21,0))</f>
        <v>0</v>
      </c>
      <c r="V58" s="127">
        <f t="shared" si="7"/>
        <v>0</v>
      </c>
      <c r="W58" s="127">
        <f t="shared" si="8"/>
        <v>0</v>
      </c>
      <c r="X58" s="137"/>
      <c r="Y58" s="138"/>
      <c r="Z58" s="138"/>
      <c r="AA58" s="138"/>
      <c r="AB58" s="138"/>
      <c r="AC58" s="138"/>
      <c r="AD58" s="139"/>
    </row>
    <row r="59" spans="1:30" ht="16.5" thickBot="1" x14ac:dyDescent="0.3">
      <c r="A59" s="141"/>
      <c r="B59" s="142"/>
      <c r="C59" s="142"/>
      <c r="D59" s="142"/>
      <c r="E59" s="142"/>
      <c r="F59" s="142"/>
      <c r="G59" s="142"/>
      <c r="H59" s="190"/>
      <c r="I59" s="142"/>
      <c r="J59" s="143">
        <f t="shared" si="6"/>
        <v>1.1000000000000001</v>
      </c>
      <c r="K59" s="164"/>
      <c r="L59" s="167"/>
      <c r="M59" s="167"/>
      <c r="N59" s="167"/>
      <c r="O59" s="193">
        <f t="array" ref="O59">INDEX(Tableaux!$H$4:$H$112,MATCH(MIN(ABS(G59-Tableaux!$H$4:$H$112)),ABS(G59-Tableaux!$H$4:$H$112),0))</f>
        <v>0.01</v>
      </c>
      <c r="P59" s="193">
        <f>INDEX(Tableaux!$I$4:$I$112,MATCH(O59,Tableaux!$H$4:$H$112,0))</f>
        <v>0</v>
      </c>
      <c r="Q59" s="144">
        <f t="shared" si="1"/>
        <v>0</v>
      </c>
      <c r="R59" s="128"/>
      <c r="S59" s="145">
        <f t="shared" si="2"/>
        <v>0</v>
      </c>
      <c r="T59" s="130">
        <f t="shared" si="5"/>
        <v>0</v>
      </c>
      <c r="U59" s="131">
        <f>INDEX(Tableaux!$F$6:$F$21,MATCH(I59,Tableaux!$E$6:$E$21,0))</f>
        <v>0</v>
      </c>
      <c r="V59" s="127">
        <f t="shared" si="7"/>
        <v>0</v>
      </c>
      <c r="W59" s="144">
        <f t="shared" si="8"/>
        <v>0</v>
      </c>
      <c r="X59" s="141"/>
      <c r="Y59" s="142"/>
      <c r="Z59" s="142"/>
      <c r="AA59" s="142"/>
      <c r="AB59" s="142"/>
      <c r="AC59" s="142"/>
      <c r="AD59" s="146"/>
    </row>
    <row r="60" spans="1:30" ht="16.5" thickBot="1" x14ac:dyDescent="0.3">
      <c r="A60" s="147"/>
      <c r="B60" s="147"/>
      <c r="C60" s="147"/>
      <c r="D60" s="313" t="s">
        <v>119</v>
      </c>
      <c r="E60" s="314"/>
      <c r="F60" s="148">
        <f>SUM(F11:F59)</f>
        <v>0</v>
      </c>
      <c r="G60" s="118"/>
      <c r="H60" s="118"/>
      <c r="I60" s="118"/>
      <c r="J60" s="118"/>
      <c r="K60" s="164"/>
      <c r="L60" s="167"/>
      <c r="M60" s="167"/>
      <c r="N60" s="167"/>
      <c r="O60" s="118"/>
      <c r="P60" s="118"/>
      <c r="Q60" s="149" t="s">
        <v>124</v>
      </c>
      <c r="R60" s="149" t="s">
        <v>125</v>
      </c>
      <c r="S60" s="149" t="s">
        <v>126</v>
      </c>
      <c r="T60" s="149" t="s">
        <v>127</v>
      </c>
      <c r="U60" s="115"/>
      <c r="V60" s="149" t="s">
        <v>132</v>
      </c>
      <c r="W60" s="188" t="s">
        <v>133</v>
      </c>
      <c r="X60" s="324" t="s">
        <v>136</v>
      </c>
      <c r="Y60" s="325"/>
      <c r="Z60" s="325"/>
      <c r="AA60" s="325"/>
      <c r="AB60" s="325"/>
      <c r="AC60" s="325"/>
      <c r="AD60" s="326"/>
    </row>
    <row r="61" spans="1:30" ht="16.5" thickBot="1" x14ac:dyDescent="0.3">
      <c r="A61" s="115"/>
      <c r="B61" s="115"/>
      <c r="C61" s="115"/>
      <c r="D61" s="318" t="s">
        <v>103</v>
      </c>
      <c r="E61" s="319"/>
      <c r="F61" s="150" t="e">
        <f>F60/$C$8</f>
        <v>#DIV/0!</v>
      </c>
      <c r="G61" s="115"/>
      <c r="H61" s="115"/>
      <c r="I61" s="115"/>
      <c r="J61" s="115"/>
      <c r="K61" s="164"/>
      <c r="L61" s="167"/>
      <c r="M61" s="167"/>
      <c r="N61" s="180"/>
      <c r="O61" s="115"/>
      <c r="P61" s="118"/>
      <c r="Q61" s="149">
        <f>SUM(Q11:Q59)</f>
        <v>0</v>
      </c>
      <c r="R61" s="149" t="e">
        <f>SUM(R11:R59)</f>
        <v>#DIV/0!</v>
      </c>
      <c r="S61" s="149">
        <f>SUM(S11:S59)</f>
        <v>0</v>
      </c>
      <c r="T61" s="149">
        <f>SUM(T11:T59)</f>
        <v>0</v>
      </c>
      <c r="U61" s="115"/>
      <c r="V61" s="149">
        <f t="shared" ref="V61:AC61" si="9">SUM(V11:V59)</f>
        <v>0</v>
      </c>
      <c r="W61" s="149">
        <f t="shared" si="9"/>
        <v>0</v>
      </c>
      <c r="X61" s="149">
        <f t="shared" si="9"/>
        <v>0</v>
      </c>
      <c r="Y61" s="149">
        <f t="shared" si="9"/>
        <v>0</v>
      </c>
      <c r="Z61" s="149">
        <f t="shared" si="9"/>
        <v>0</v>
      </c>
      <c r="AA61" s="149">
        <f t="shared" si="9"/>
        <v>0</v>
      </c>
      <c r="AB61" s="149">
        <f t="shared" si="9"/>
        <v>0</v>
      </c>
      <c r="AC61" s="149">
        <f t="shared" si="9"/>
        <v>0</v>
      </c>
      <c r="AD61" s="149">
        <f>SUM(V61:AC61)*0.08</f>
        <v>0</v>
      </c>
    </row>
    <row r="62" spans="1:30" ht="16.5" thickBot="1" x14ac:dyDescent="0.3">
      <c r="A62" s="164"/>
      <c r="B62" s="164"/>
      <c r="C62" s="164"/>
      <c r="D62" s="164"/>
      <c r="E62" s="164"/>
      <c r="F62" s="164"/>
      <c r="G62" s="164"/>
      <c r="H62" s="164"/>
      <c r="I62" s="164"/>
      <c r="J62" s="164"/>
      <c r="K62" s="164"/>
      <c r="L62" s="164"/>
      <c r="M62" s="164"/>
      <c r="N62" s="180"/>
      <c r="O62" s="115"/>
      <c r="P62" s="115"/>
      <c r="Q62" s="149" t="s">
        <v>131</v>
      </c>
      <c r="R62" s="149" t="s">
        <v>130</v>
      </c>
      <c r="S62" s="149" t="s">
        <v>129</v>
      </c>
      <c r="T62" s="149" t="s">
        <v>128</v>
      </c>
      <c r="U62" s="115"/>
      <c r="V62" s="149" t="s">
        <v>135</v>
      </c>
      <c r="W62" s="183" t="s">
        <v>134</v>
      </c>
      <c r="X62" s="324" t="s">
        <v>137</v>
      </c>
      <c r="Y62" s="325"/>
      <c r="Z62" s="325"/>
      <c r="AA62" s="325"/>
      <c r="AB62" s="325"/>
      <c r="AC62" s="325"/>
      <c r="AD62" s="326"/>
    </row>
    <row r="63" spans="1:30" ht="16.5" thickBot="1" x14ac:dyDescent="0.3">
      <c r="A63" s="164"/>
      <c r="B63" s="392" t="s">
        <v>115</v>
      </c>
      <c r="C63" s="393"/>
      <c r="D63" s="394"/>
      <c r="E63" s="395"/>
      <c r="F63" s="164"/>
      <c r="G63" s="164"/>
      <c r="H63" s="164"/>
      <c r="I63" s="164"/>
      <c r="J63" s="164"/>
      <c r="K63" s="164"/>
      <c r="L63" s="164"/>
      <c r="M63" s="164"/>
      <c r="N63" s="180"/>
      <c r="O63" s="118"/>
      <c r="P63" s="115"/>
      <c r="Q63" s="149" t="e">
        <f>ROUND(Q61/$C$8,2)</f>
        <v>#DIV/0!</v>
      </c>
      <c r="R63" s="149" t="e">
        <f>ROUND(R61/$C$8,3)</f>
        <v>#DIV/0!</v>
      </c>
      <c r="S63" s="149" t="e">
        <f>ROUND(S61/$C$8,2)</f>
        <v>#DIV/0!</v>
      </c>
      <c r="T63" s="149" t="e">
        <f>ROUND(T61/$C$8,3)</f>
        <v>#DIV/0!</v>
      </c>
      <c r="U63" s="115"/>
      <c r="V63" s="149" t="e">
        <f t="shared" ref="V63:AD63" si="10">ROUND(V61/$C$8,2)</f>
        <v>#DIV/0!</v>
      </c>
      <c r="W63" s="149" t="e">
        <f t="shared" si="10"/>
        <v>#DIV/0!</v>
      </c>
      <c r="X63" s="149" t="e">
        <f t="shared" si="10"/>
        <v>#DIV/0!</v>
      </c>
      <c r="Y63" s="149" t="e">
        <f t="shared" si="10"/>
        <v>#DIV/0!</v>
      </c>
      <c r="Z63" s="149" t="e">
        <f t="shared" si="10"/>
        <v>#DIV/0!</v>
      </c>
      <c r="AA63" s="149" t="e">
        <f t="shared" si="10"/>
        <v>#DIV/0!</v>
      </c>
      <c r="AB63" s="149" t="e">
        <f t="shared" si="10"/>
        <v>#DIV/0!</v>
      </c>
      <c r="AC63" s="149" t="e">
        <f t="shared" si="10"/>
        <v>#DIV/0!</v>
      </c>
      <c r="AD63" s="151" t="e">
        <f t="shared" si="10"/>
        <v>#DIV/0!</v>
      </c>
    </row>
    <row r="64" spans="1:30" ht="19.5" thickBot="1" x14ac:dyDescent="0.35">
      <c r="A64" s="115"/>
      <c r="B64" s="402" t="s">
        <v>109</v>
      </c>
      <c r="C64" s="403"/>
      <c r="D64" s="152"/>
      <c r="E64" s="153">
        <f>D64*53.35</f>
        <v>0</v>
      </c>
      <c r="F64" s="115"/>
      <c r="G64" s="115"/>
      <c r="H64" s="115"/>
      <c r="I64" s="115"/>
      <c r="J64" s="115"/>
      <c r="K64" s="115"/>
      <c r="L64" s="115"/>
      <c r="M64" s="115"/>
      <c r="N64" s="116"/>
      <c r="O64" s="147"/>
      <c r="P64" s="115"/>
      <c r="Q64" s="115"/>
      <c r="R64" s="115"/>
      <c r="S64" s="115"/>
      <c r="T64" s="115"/>
      <c r="U64" s="115"/>
      <c r="V64" s="115"/>
      <c r="W64" s="115"/>
      <c r="X64" s="115"/>
      <c r="Y64" s="115"/>
      <c r="Z64" s="115"/>
      <c r="AA64" s="115"/>
      <c r="AB64" s="115"/>
      <c r="AC64" s="115"/>
      <c r="AD64" s="115"/>
    </row>
    <row r="65" spans="1:30" ht="19.5" thickBot="1" x14ac:dyDescent="0.35">
      <c r="A65" s="115"/>
      <c r="B65" s="396" t="s">
        <v>110</v>
      </c>
      <c r="C65" s="397"/>
      <c r="D65" s="154"/>
      <c r="E65" s="155">
        <f>D65*38.12</f>
        <v>0</v>
      </c>
      <c r="F65" s="115"/>
      <c r="G65" s="115"/>
      <c r="H65" s="115"/>
      <c r="I65" s="115"/>
      <c r="J65" s="115"/>
      <c r="K65" s="115"/>
      <c r="L65" s="115"/>
      <c r="M65" s="115"/>
      <c r="N65" s="116"/>
      <c r="O65" s="147"/>
      <c r="P65" s="115"/>
      <c r="Q65" s="115"/>
      <c r="R65" s="115"/>
      <c r="S65" s="115"/>
      <c r="T65" s="115"/>
      <c r="U65" s="156"/>
      <c r="V65" s="121" t="s">
        <v>123</v>
      </c>
      <c r="W65" s="121" t="s">
        <v>120</v>
      </c>
      <c r="X65" s="213"/>
      <c r="Y65" s="390" t="s">
        <v>121</v>
      </c>
      <c r="Z65" s="391"/>
      <c r="AA65" s="115"/>
      <c r="AB65" s="115"/>
      <c r="AC65" s="115"/>
      <c r="AD65" s="115"/>
    </row>
    <row r="66" spans="1:30" ht="19.5" thickBot="1" x14ac:dyDescent="0.35">
      <c r="A66" s="115"/>
      <c r="B66" s="396" t="s">
        <v>111</v>
      </c>
      <c r="C66" s="397"/>
      <c r="D66" s="154"/>
      <c r="E66" s="155">
        <f>D66*38.12</f>
        <v>0</v>
      </c>
      <c r="F66" s="115"/>
      <c r="G66" s="115"/>
      <c r="H66" s="115"/>
      <c r="I66" s="115"/>
      <c r="J66" s="115"/>
      <c r="K66" s="115"/>
      <c r="L66" s="115"/>
      <c r="M66" s="115"/>
      <c r="N66" s="116"/>
      <c r="O66" s="147"/>
      <c r="P66" s="115"/>
      <c r="Q66" s="115"/>
      <c r="R66" s="115"/>
      <c r="S66" s="115"/>
      <c r="T66" s="115"/>
      <c r="U66" s="121" t="s">
        <v>25</v>
      </c>
      <c r="V66" s="121">
        <f>SUM(V61+W61+X61+Y61+Z61+AA61+AB61+AD61+AC61)</f>
        <v>0</v>
      </c>
      <c r="W66" s="121" t="e">
        <f>ROUND(V66/$C$8,3)</f>
        <v>#DIV/0!</v>
      </c>
      <c r="X66" s="213"/>
      <c r="Y66" s="404"/>
      <c r="Z66" s="405"/>
      <c r="AA66" s="115"/>
      <c r="AB66" s="115"/>
      <c r="AC66" s="115"/>
      <c r="AD66" s="115"/>
    </row>
    <row r="67" spans="1:30" ht="19.5" thickBot="1" x14ac:dyDescent="0.35">
      <c r="A67" s="115"/>
      <c r="B67" s="396" t="s">
        <v>112</v>
      </c>
      <c r="C67" s="397"/>
      <c r="D67" s="154"/>
      <c r="E67" s="155">
        <f>D67*38.12</f>
        <v>0</v>
      </c>
      <c r="F67" s="115"/>
      <c r="G67" s="115"/>
      <c r="H67" s="115"/>
      <c r="I67" s="115"/>
      <c r="J67" s="115"/>
      <c r="K67" s="115"/>
      <c r="L67" s="115"/>
      <c r="M67" s="115"/>
      <c r="N67" s="118"/>
      <c r="O67" s="147"/>
      <c r="P67" s="115"/>
      <c r="Q67" s="115"/>
      <c r="R67" s="115"/>
      <c r="S67" s="115"/>
      <c r="T67" s="115"/>
      <c r="U67" s="156"/>
      <c r="V67" s="156"/>
      <c r="W67" s="156"/>
      <c r="X67" s="213"/>
      <c r="Y67" s="213"/>
      <c r="Z67" s="213"/>
      <c r="AA67" s="115"/>
      <c r="AB67" s="115"/>
      <c r="AC67" s="115"/>
      <c r="AD67" s="115"/>
    </row>
    <row r="68" spans="1:30" ht="19.5" thickBot="1" x14ac:dyDescent="0.35">
      <c r="A68" s="115"/>
      <c r="B68" s="398" t="s">
        <v>113</v>
      </c>
      <c r="C68" s="399"/>
      <c r="D68" s="157"/>
      <c r="E68" s="158">
        <f>SUM(E64:E67)*0.5</f>
        <v>0</v>
      </c>
      <c r="F68" s="115"/>
      <c r="G68" s="115"/>
      <c r="H68" s="115"/>
      <c r="I68" s="115"/>
      <c r="J68" s="115"/>
      <c r="K68" s="115"/>
      <c r="L68" s="115"/>
      <c r="M68" s="115"/>
      <c r="N68" s="118"/>
      <c r="O68" s="115"/>
      <c r="P68" s="115"/>
      <c r="Q68" s="115"/>
      <c r="R68" s="115"/>
      <c r="S68" s="115"/>
      <c r="T68" s="115"/>
      <c r="U68" s="121" t="s">
        <v>105</v>
      </c>
      <c r="V68" s="159">
        <v>65</v>
      </c>
      <c r="W68" s="156"/>
      <c r="X68" s="213"/>
      <c r="Y68" s="213"/>
      <c r="Z68" s="213"/>
      <c r="AA68" s="115"/>
      <c r="AB68" s="115"/>
      <c r="AC68" s="115"/>
      <c r="AD68" s="115"/>
    </row>
    <row r="69" spans="1:30" ht="19.5" thickBot="1" x14ac:dyDescent="0.35">
      <c r="A69" s="115"/>
      <c r="B69" s="400" t="s">
        <v>114</v>
      </c>
      <c r="C69" s="401"/>
      <c r="D69" s="160">
        <f>SUM(D64:D68)</f>
        <v>0</v>
      </c>
      <c r="E69" s="161">
        <f>SUM(E64:E68)</f>
        <v>0</v>
      </c>
      <c r="F69" s="115"/>
      <c r="G69" s="115"/>
      <c r="H69" s="115"/>
      <c r="I69" s="115"/>
      <c r="J69" s="115"/>
      <c r="K69" s="115"/>
      <c r="L69" s="115"/>
      <c r="M69" s="115"/>
      <c r="N69" s="118"/>
      <c r="O69" s="115"/>
      <c r="P69" s="115"/>
      <c r="Q69" s="115"/>
      <c r="R69" s="115"/>
      <c r="S69" s="115"/>
      <c r="T69" s="115"/>
      <c r="U69" s="156"/>
      <c r="V69" s="156"/>
      <c r="W69" s="156"/>
      <c r="X69" s="213"/>
      <c r="Y69" s="213"/>
      <c r="Z69" s="213"/>
      <c r="AA69" s="115"/>
      <c r="AB69" s="115"/>
      <c r="AC69" s="115"/>
      <c r="AD69" s="115"/>
    </row>
    <row r="70" spans="1:30" ht="19.5" thickBot="1" x14ac:dyDescent="0.35">
      <c r="A70" s="115"/>
      <c r="B70" s="115"/>
      <c r="C70" s="115"/>
      <c r="D70" s="115"/>
      <c r="E70" s="115"/>
      <c r="F70" s="115"/>
      <c r="G70" s="115"/>
      <c r="H70" s="115"/>
      <c r="I70" s="115"/>
      <c r="J70" s="115"/>
      <c r="K70" s="115"/>
      <c r="L70" s="115"/>
      <c r="M70" s="115"/>
      <c r="N70" s="118"/>
      <c r="O70" s="115"/>
      <c r="P70" s="115"/>
      <c r="Q70" s="115"/>
      <c r="R70" s="115"/>
      <c r="S70" s="115"/>
      <c r="T70" s="115"/>
      <c r="U70" s="156"/>
      <c r="V70" s="121" t="s">
        <v>123</v>
      </c>
      <c r="W70" s="121" t="s">
        <v>120</v>
      </c>
      <c r="X70" s="213"/>
      <c r="Y70" s="390" t="s">
        <v>122</v>
      </c>
      <c r="Z70" s="391"/>
      <c r="AA70" s="115"/>
      <c r="AB70" s="115"/>
      <c r="AC70" s="115"/>
      <c r="AD70" s="115"/>
    </row>
    <row r="71" spans="1:30" ht="19.5" thickBot="1" x14ac:dyDescent="0.35">
      <c r="A71" s="115"/>
      <c r="B71" s="115"/>
      <c r="C71" s="115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8"/>
      <c r="O71" s="115"/>
      <c r="P71" s="115"/>
      <c r="Q71" s="115"/>
      <c r="R71" s="115"/>
      <c r="S71" s="115"/>
      <c r="T71" s="115"/>
      <c r="U71" s="162" t="s">
        <v>104</v>
      </c>
      <c r="V71" s="214">
        <f>V66*V68</f>
        <v>0</v>
      </c>
      <c r="W71" s="215" t="e">
        <f>V71/$C$8</f>
        <v>#DIV/0!</v>
      </c>
      <c r="X71" s="213"/>
      <c r="Y71" s="339">
        <f>Y66*V68</f>
        <v>0</v>
      </c>
      <c r="Z71" s="340"/>
      <c r="AA71" s="115"/>
      <c r="AB71" s="115"/>
      <c r="AC71" s="115"/>
      <c r="AD71" s="115"/>
    </row>
    <row r="72" spans="1:30" x14ac:dyDescent="0.25">
      <c r="N72" s="4"/>
    </row>
    <row r="73" spans="1:30" ht="15.75" x14ac:dyDescent="0.25">
      <c r="B73" s="53"/>
      <c r="C73" s="55"/>
      <c r="D73" s="51"/>
      <c r="E73" s="52"/>
      <c r="F73" s="52"/>
      <c r="G73" s="53"/>
      <c r="H73" s="54"/>
      <c r="I73" s="51"/>
      <c r="J73" s="53"/>
      <c r="K73" s="55"/>
      <c r="L73" s="51"/>
      <c r="N73" s="4"/>
    </row>
    <row r="74" spans="1:30" ht="15.75" x14ac:dyDescent="0.25">
      <c r="B74" s="51"/>
      <c r="C74" s="55"/>
      <c r="D74" s="51"/>
      <c r="E74" s="52"/>
      <c r="F74" s="52"/>
      <c r="G74" s="54"/>
      <c r="H74" s="58"/>
      <c r="I74" s="51"/>
      <c r="J74" s="51"/>
      <c r="K74" s="55"/>
      <c r="L74" s="51"/>
      <c r="N74" s="4"/>
    </row>
    <row r="75" spans="1:30" ht="15.75" x14ac:dyDescent="0.25">
      <c r="B75" s="51"/>
      <c r="C75" s="55"/>
      <c r="D75" s="51"/>
      <c r="E75" s="59"/>
      <c r="F75" s="59"/>
      <c r="G75" s="54"/>
      <c r="H75" s="58"/>
      <c r="I75" s="51"/>
      <c r="J75" s="51"/>
      <c r="K75" s="55"/>
      <c r="L75" s="51"/>
      <c r="N75" s="4"/>
    </row>
    <row r="76" spans="1:30" ht="15.75" x14ac:dyDescent="0.25">
      <c r="B76" s="62"/>
      <c r="C76" s="55"/>
      <c r="D76" s="51"/>
      <c r="E76" s="60"/>
      <c r="F76" s="60"/>
      <c r="G76" s="61"/>
      <c r="H76" s="51"/>
      <c r="I76" s="51"/>
      <c r="J76" s="62"/>
      <c r="K76" s="55"/>
      <c r="L76" s="51"/>
      <c r="N76" s="4"/>
    </row>
    <row r="77" spans="1:30" ht="15.75" x14ac:dyDescent="0.25">
      <c r="D77" s="51"/>
      <c r="L77" s="51"/>
      <c r="N77" s="4"/>
    </row>
    <row r="78" spans="1:30" ht="15.75" x14ac:dyDescent="0.25">
      <c r="L78" s="51"/>
      <c r="N78" s="4"/>
    </row>
    <row r="79" spans="1:30" x14ac:dyDescent="0.25">
      <c r="N79" s="4"/>
    </row>
    <row r="80" spans="1:30" x14ac:dyDescent="0.25">
      <c r="N80" s="4"/>
    </row>
    <row r="81" spans="14:14" x14ac:dyDescent="0.25">
      <c r="N81" s="4"/>
    </row>
    <row r="82" spans="14:14" x14ac:dyDescent="0.25">
      <c r="N82" s="4"/>
    </row>
  </sheetData>
  <dataConsolidate/>
  <customSheetViews>
    <customSheetView guid="{9202D9C8-DD47-4F7A-BFF5-A0B83E304C8F}" topLeftCell="N1">
      <selection activeCell="O11" sqref="O11"/>
      <pageMargins left="0.7" right="0.7" top="0.75" bottom="0.75" header="0.3" footer="0.3"/>
    </customSheetView>
  </customSheetViews>
  <mergeCells count="50">
    <mergeCell ref="Y70:Z70"/>
    <mergeCell ref="Y71:Z71"/>
    <mergeCell ref="B63:E63"/>
    <mergeCell ref="B67:C67"/>
    <mergeCell ref="B68:C68"/>
    <mergeCell ref="B69:C69"/>
    <mergeCell ref="B64:C64"/>
    <mergeCell ref="B65:C65"/>
    <mergeCell ref="B66:C66"/>
    <mergeCell ref="Y65:Z65"/>
    <mergeCell ref="Y66:Z66"/>
    <mergeCell ref="D61:E61"/>
    <mergeCell ref="AA9:AA10"/>
    <mergeCell ref="AB9:AB10"/>
    <mergeCell ref="S9:S10"/>
    <mergeCell ref="T9:T10"/>
    <mergeCell ref="U9:U10"/>
    <mergeCell ref="F9:F10"/>
    <mergeCell ref="D60:E60"/>
    <mergeCell ref="O9:O10"/>
    <mergeCell ref="H9:H10"/>
    <mergeCell ref="X60:AD60"/>
    <mergeCell ref="AD9:AD10"/>
    <mergeCell ref="X9:X10"/>
    <mergeCell ref="W9:W10"/>
    <mergeCell ref="Q9:Q10"/>
    <mergeCell ref="E3:I4"/>
    <mergeCell ref="B9:B10"/>
    <mergeCell ref="C9:C10"/>
    <mergeCell ref="D9:D10"/>
    <mergeCell ref="E9:E10"/>
    <mergeCell ref="D8:G8"/>
    <mergeCell ref="A7:B7"/>
    <mergeCell ref="D7:G7"/>
    <mergeCell ref="H7:I7"/>
    <mergeCell ref="A9:A10"/>
    <mergeCell ref="H8:I8"/>
    <mergeCell ref="A8:B8"/>
    <mergeCell ref="I9:I10"/>
    <mergeCell ref="O7:P7"/>
    <mergeCell ref="G9:G10"/>
    <mergeCell ref="J9:J10"/>
    <mergeCell ref="P9:P10"/>
    <mergeCell ref="X62:AD62"/>
    <mergeCell ref="R9:R10"/>
    <mergeCell ref="Y9:Y10"/>
    <mergeCell ref="Z9:Z10"/>
    <mergeCell ref="AC9:AC10"/>
    <mergeCell ref="V9:V10"/>
    <mergeCell ref="L7:M7"/>
  </mergeCells>
  <phoneticPr fontId="2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2:J134"/>
  <sheetViews>
    <sheetView workbookViewId="0">
      <selection activeCell="B9" sqref="B9"/>
    </sheetView>
  </sheetViews>
  <sheetFormatPr baseColWidth="10" defaultRowHeight="15" x14ac:dyDescent="0.25"/>
  <cols>
    <col min="1" max="1" width="2.5703125" customWidth="1"/>
    <col min="2" max="3" width="11.42578125" style="70"/>
    <col min="4" max="4" width="2.85546875" style="70" customWidth="1"/>
    <col min="5" max="6" width="11.42578125" style="70"/>
    <col min="7" max="7" width="2.85546875" style="70" customWidth="1"/>
    <col min="8" max="8" width="20.42578125" style="70" customWidth="1"/>
    <col min="9" max="10" width="11.42578125" style="70"/>
  </cols>
  <sheetData>
    <row r="2" spans="2:9" ht="15.75" thickBot="1" x14ac:dyDescent="0.3"/>
    <row r="3" spans="2:9" ht="30.75" thickBot="1" x14ac:dyDescent="0.3">
      <c r="B3" s="406" t="s">
        <v>37</v>
      </c>
      <c r="C3" s="407"/>
      <c r="E3" s="406" t="s">
        <v>38</v>
      </c>
      <c r="F3" s="407"/>
      <c r="H3" s="100" t="s">
        <v>96</v>
      </c>
      <c r="I3" s="101" t="s">
        <v>95</v>
      </c>
    </row>
    <row r="4" spans="2:9" x14ac:dyDescent="0.25">
      <c r="B4" s="408" t="s">
        <v>27</v>
      </c>
      <c r="C4" s="410" t="s">
        <v>26</v>
      </c>
      <c r="E4" s="408" t="s">
        <v>27</v>
      </c>
      <c r="F4" s="410" t="s">
        <v>26</v>
      </c>
      <c r="H4" s="102">
        <v>0.01</v>
      </c>
      <c r="I4" s="103">
        <v>0</v>
      </c>
    </row>
    <row r="5" spans="2:9" ht="15.75" thickBot="1" x14ac:dyDescent="0.3">
      <c r="B5" s="409"/>
      <c r="C5" s="411"/>
      <c r="E5" s="409"/>
      <c r="F5" s="411"/>
      <c r="H5" s="81">
        <v>0.1</v>
      </c>
      <c r="I5" s="80">
        <v>0.02</v>
      </c>
    </row>
    <row r="6" spans="2:9" x14ac:dyDescent="0.25">
      <c r="B6" s="104">
        <v>0</v>
      </c>
      <c r="C6" s="78">
        <v>0</v>
      </c>
      <c r="E6" s="104">
        <v>0</v>
      </c>
      <c r="F6" s="78">
        <v>0</v>
      </c>
      <c r="H6" s="81">
        <v>2</v>
      </c>
      <c r="I6" s="80">
        <v>0.02</v>
      </c>
    </row>
    <row r="7" spans="2:9" x14ac:dyDescent="0.25">
      <c r="B7" s="105">
        <v>3</v>
      </c>
      <c r="C7" s="80">
        <v>0.12</v>
      </c>
      <c r="E7" s="105">
        <v>3</v>
      </c>
      <c r="F7" s="80">
        <v>5.6000000000000008E-2</v>
      </c>
      <c r="H7" s="81">
        <v>3</v>
      </c>
      <c r="I7" s="80">
        <v>0.03</v>
      </c>
    </row>
    <row r="8" spans="2:9" x14ac:dyDescent="0.25">
      <c r="B8" s="81">
        <v>4</v>
      </c>
      <c r="C8" s="80">
        <v>0.14000000000000001</v>
      </c>
      <c r="E8" s="81">
        <v>4</v>
      </c>
      <c r="F8" s="80">
        <v>5.6000000000000008E-2</v>
      </c>
      <c r="H8" s="81">
        <v>4</v>
      </c>
      <c r="I8" s="80">
        <v>0.04</v>
      </c>
    </row>
    <row r="9" spans="2:9" x14ac:dyDescent="0.25">
      <c r="B9" s="81">
        <v>5</v>
      </c>
      <c r="C9" s="80">
        <v>0.16</v>
      </c>
      <c r="E9" s="81">
        <v>5</v>
      </c>
      <c r="F9" s="80">
        <v>7.1999999999999995E-2</v>
      </c>
      <c r="H9" s="81">
        <v>5</v>
      </c>
      <c r="I9" s="80">
        <v>0.05</v>
      </c>
    </row>
    <row r="10" spans="2:9" x14ac:dyDescent="0.25">
      <c r="B10" s="81">
        <v>6</v>
      </c>
      <c r="C10" s="80">
        <v>0.18</v>
      </c>
      <c r="E10" s="81">
        <v>6</v>
      </c>
      <c r="F10" s="80">
        <v>8.7999999999999995E-2</v>
      </c>
      <c r="H10" s="81">
        <v>6</v>
      </c>
      <c r="I10" s="80">
        <v>0.06</v>
      </c>
    </row>
    <row r="11" spans="2:9" x14ac:dyDescent="0.25">
      <c r="B11" s="81">
        <v>8</v>
      </c>
      <c r="C11" s="80">
        <v>0.22</v>
      </c>
      <c r="E11" s="81">
        <v>8</v>
      </c>
      <c r="F11" s="80">
        <v>0.10800000000000001</v>
      </c>
      <c r="H11" s="81">
        <v>7</v>
      </c>
      <c r="I11" s="80">
        <v>7.0000000000000007E-2</v>
      </c>
    </row>
    <row r="12" spans="2:9" x14ac:dyDescent="0.25">
      <c r="B12" s="81">
        <v>9</v>
      </c>
      <c r="C12" s="80">
        <v>0.27</v>
      </c>
      <c r="E12" s="81">
        <v>9</v>
      </c>
      <c r="F12" s="80">
        <v>0.128</v>
      </c>
      <c r="H12" s="81">
        <v>8</v>
      </c>
      <c r="I12" s="80">
        <v>0.08</v>
      </c>
    </row>
    <row r="13" spans="2:9" x14ac:dyDescent="0.25">
      <c r="B13" s="81">
        <v>10</v>
      </c>
      <c r="C13" s="80">
        <v>0.32</v>
      </c>
      <c r="E13" s="81">
        <v>10</v>
      </c>
      <c r="F13" s="80">
        <v>0.14399999999999999</v>
      </c>
      <c r="H13" s="81">
        <v>9</v>
      </c>
      <c r="I13" s="80">
        <v>0.09</v>
      </c>
    </row>
    <row r="14" spans="2:9" x14ac:dyDescent="0.25">
      <c r="B14" s="81">
        <v>12</v>
      </c>
      <c r="C14" s="80">
        <v>0.36</v>
      </c>
      <c r="E14" s="81">
        <v>12</v>
      </c>
      <c r="F14" s="80">
        <v>0.20400000000000001</v>
      </c>
      <c r="H14" s="81">
        <v>10</v>
      </c>
      <c r="I14" s="80">
        <v>0.1</v>
      </c>
    </row>
    <row r="15" spans="2:9" x14ac:dyDescent="0.25">
      <c r="B15" s="81">
        <v>15</v>
      </c>
      <c r="C15" s="80">
        <v>0.51</v>
      </c>
      <c r="E15" s="81">
        <v>15</v>
      </c>
      <c r="F15" s="80">
        <v>0.312</v>
      </c>
      <c r="H15" s="81">
        <v>15</v>
      </c>
      <c r="I15" s="80">
        <v>0.11</v>
      </c>
    </row>
    <row r="16" spans="2:9" x14ac:dyDescent="0.25">
      <c r="B16" s="81">
        <v>18</v>
      </c>
      <c r="C16" s="80">
        <v>0.78</v>
      </c>
      <c r="E16" s="81">
        <v>18</v>
      </c>
      <c r="F16" s="80">
        <v>0.45599999999999996</v>
      </c>
      <c r="H16" s="81">
        <v>20</v>
      </c>
      <c r="I16" s="80">
        <v>0.12</v>
      </c>
    </row>
    <row r="17" spans="2:9" x14ac:dyDescent="0.25">
      <c r="B17" s="81">
        <v>20</v>
      </c>
      <c r="C17" s="80">
        <v>1.1399999999999999</v>
      </c>
      <c r="E17" s="81">
        <v>20</v>
      </c>
      <c r="F17" s="80">
        <v>0.504</v>
      </c>
      <c r="H17" s="81">
        <v>25</v>
      </c>
      <c r="I17" s="80">
        <v>0.125</v>
      </c>
    </row>
    <row r="18" spans="2:9" x14ac:dyDescent="0.25">
      <c r="B18" s="81">
        <v>25</v>
      </c>
      <c r="C18" s="80">
        <v>1.26</v>
      </c>
      <c r="E18" s="81">
        <v>25</v>
      </c>
      <c r="F18" s="80">
        <v>0.72799999999999998</v>
      </c>
      <c r="H18" s="81">
        <v>30</v>
      </c>
      <c r="I18" s="80">
        <v>0.13</v>
      </c>
    </row>
    <row r="19" spans="2:9" x14ac:dyDescent="0.25">
      <c r="B19" s="81">
        <v>30</v>
      </c>
      <c r="C19" s="80">
        <v>1.82</v>
      </c>
      <c r="E19" s="81">
        <v>30</v>
      </c>
      <c r="F19" s="80">
        <v>1.032</v>
      </c>
      <c r="H19" s="81">
        <v>35</v>
      </c>
      <c r="I19" s="80">
        <v>0.13500000000000001</v>
      </c>
    </row>
    <row r="20" spans="2:9" x14ac:dyDescent="0.25">
      <c r="B20" s="81">
        <v>35</v>
      </c>
      <c r="C20" s="80">
        <v>2.58</v>
      </c>
      <c r="E20" s="81">
        <v>35</v>
      </c>
      <c r="F20" s="80">
        <v>1.4039999999999999</v>
      </c>
      <c r="H20" s="81">
        <v>40</v>
      </c>
      <c r="I20" s="80">
        <v>0.14000000000000001</v>
      </c>
    </row>
    <row r="21" spans="2:9" ht="15.75" thickBot="1" x14ac:dyDescent="0.3">
      <c r="B21" s="98">
        <v>40</v>
      </c>
      <c r="C21" s="99">
        <v>3.51</v>
      </c>
      <c r="E21" s="98">
        <v>40</v>
      </c>
      <c r="F21" s="99">
        <v>1.8199999999999998</v>
      </c>
      <c r="H21" s="81">
        <v>45</v>
      </c>
      <c r="I21" s="80">
        <v>0.14499999999999999</v>
      </c>
    </row>
    <row r="22" spans="2:9" x14ac:dyDescent="0.25">
      <c r="H22" s="81">
        <v>50</v>
      </c>
      <c r="I22" s="80">
        <v>0.15</v>
      </c>
    </row>
    <row r="23" spans="2:9" x14ac:dyDescent="0.25">
      <c r="B23" s="106"/>
      <c r="C23" s="106"/>
      <c r="H23" s="81">
        <v>55</v>
      </c>
      <c r="I23" s="80">
        <v>0.155</v>
      </c>
    </row>
    <row r="24" spans="2:9" x14ac:dyDescent="0.25">
      <c r="B24" s="107"/>
      <c r="C24" s="108"/>
      <c r="H24" s="81">
        <v>60</v>
      </c>
      <c r="I24" s="80">
        <v>0.16</v>
      </c>
    </row>
    <row r="25" spans="2:9" ht="15.75" customHeight="1" x14ac:dyDescent="0.25">
      <c r="H25" s="81">
        <v>65</v>
      </c>
      <c r="I25" s="80">
        <v>0.16500000000000001</v>
      </c>
    </row>
    <row r="26" spans="2:9" x14ac:dyDescent="0.25">
      <c r="H26" s="81">
        <v>70</v>
      </c>
      <c r="I26" s="80">
        <v>0.17</v>
      </c>
    </row>
    <row r="27" spans="2:9" x14ac:dyDescent="0.25">
      <c r="H27" s="81">
        <v>75</v>
      </c>
      <c r="I27" s="80">
        <v>0.17499999999999999</v>
      </c>
    </row>
    <row r="28" spans="2:9" x14ac:dyDescent="0.25">
      <c r="H28" s="81">
        <v>80</v>
      </c>
      <c r="I28" s="80">
        <v>0.18</v>
      </c>
    </row>
    <row r="29" spans="2:9" x14ac:dyDescent="0.25">
      <c r="H29" s="81">
        <v>85</v>
      </c>
      <c r="I29" s="80">
        <v>0.185</v>
      </c>
    </row>
    <row r="30" spans="2:9" x14ac:dyDescent="0.25">
      <c r="H30" s="81">
        <v>90</v>
      </c>
      <c r="I30" s="80">
        <v>0.19</v>
      </c>
    </row>
    <row r="31" spans="2:9" x14ac:dyDescent="0.25">
      <c r="H31" s="81">
        <v>95</v>
      </c>
      <c r="I31" s="80">
        <v>0.19500000000000001</v>
      </c>
    </row>
    <row r="32" spans="2:9" x14ac:dyDescent="0.25">
      <c r="H32" s="81">
        <v>100</v>
      </c>
      <c r="I32" s="80">
        <v>0.2</v>
      </c>
    </row>
    <row r="33" spans="8:9" x14ac:dyDescent="0.25">
      <c r="H33" s="81">
        <v>105</v>
      </c>
      <c r="I33" s="80">
        <v>0.21</v>
      </c>
    </row>
    <row r="34" spans="8:9" x14ac:dyDescent="0.25">
      <c r="H34" s="81">
        <v>110</v>
      </c>
      <c r="I34" s="80">
        <v>0.22</v>
      </c>
    </row>
    <row r="35" spans="8:9" x14ac:dyDescent="0.25">
      <c r="H35" s="81">
        <v>115</v>
      </c>
      <c r="I35" s="80">
        <v>0.23</v>
      </c>
    </row>
    <row r="36" spans="8:9" x14ac:dyDescent="0.25">
      <c r="H36" s="81">
        <v>120</v>
      </c>
      <c r="I36" s="80">
        <v>0.24</v>
      </c>
    </row>
    <row r="37" spans="8:9" x14ac:dyDescent="0.25">
      <c r="H37" s="81">
        <v>125</v>
      </c>
      <c r="I37" s="80">
        <v>0.25</v>
      </c>
    </row>
    <row r="38" spans="8:9" x14ac:dyDescent="0.25">
      <c r="H38" s="81">
        <v>130</v>
      </c>
      <c r="I38" s="80">
        <v>0.26</v>
      </c>
    </row>
    <row r="39" spans="8:9" x14ac:dyDescent="0.25">
      <c r="H39" s="81">
        <v>135</v>
      </c>
      <c r="I39" s="80">
        <v>0.27</v>
      </c>
    </row>
    <row r="40" spans="8:9" x14ac:dyDescent="0.25">
      <c r="H40" s="81">
        <v>140</v>
      </c>
      <c r="I40" s="80">
        <v>0.28000000000000003</v>
      </c>
    </row>
    <row r="41" spans="8:9" x14ac:dyDescent="0.25">
      <c r="H41" s="81">
        <v>145</v>
      </c>
      <c r="I41" s="80">
        <v>0.28999999999999998</v>
      </c>
    </row>
    <row r="42" spans="8:9" x14ac:dyDescent="0.25">
      <c r="H42" s="81">
        <v>150</v>
      </c>
      <c r="I42" s="80">
        <v>0.3</v>
      </c>
    </row>
    <row r="43" spans="8:9" x14ac:dyDescent="0.25">
      <c r="H43" s="81">
        <v>155</v>
      </c>
      <c r="I43" s="80">
        <v>0.31</v>
      </c>
    </row>
    <row r="44" spans="8:9" x14ac:dyDescent="0.25">
      <c r="H44" s="81">
        <v>160</v>
      </c>
      <c r="I44" s="80">
        <v>0.32</v>
      </c>
    </row>
    <row r="45" spans="8:9" x14ac:dyDescent="0.25">
      <c r="H45" s="81">
        <v>165</v>
      </c>
      <c r="I45" s="80">
        <v>0.33</v>
      </c>
    </row>
    <row r="46" spans="8:9" x14ac:dyDescent="0.25">
      <c r="H46" s="81">
        <v>170</v>
      </c>
      <c r="I46" s="80">
        <v>0.34</v>
      </c>
    </row>
    <row r="47" spans="8:9" x14ac:dyDescent="0.25">
      <c r="H47" s="81">
        <v>175</v>
      </c>
      <c r="I47" s="80">
        <v>0.35</v>
      </c>
    </row>
    <row r="48" spans="8:9" x14ac:dyDescent="0.25">
      <c r="H48" s="81">
        <v>180</v>
      </c>
      <c r="I48" s="80">
        <v>0.36</v>
      </c>
    </row>
    <row r="49" spans="8:9" x14ac:dyDescent="0.25">
      <c r="H49" s="81">
        <v>185</v>
      </c>
      <c r="I49" s="80">
        <v>0.37</v>
      </c>
    </row>
    <row r="50" spans="8:9" x14ac:dyDescent="0.25">
      <c r="H50" s="81">
        <v>190</v>
      </c>
      <c r="I50" s="80">
        <v>0.38</v>
      </c>
    </row>
    <row r="51" spans="8:9" x14ac:dyDescent="0.25">
      <c r="H51" s="81">
        <v>195</v>
      </c>
      <c r="I51" s="80">
        <v>0.39</v>
      </c>
    </row>
    <row r="52" spans="8:9" x14ac:dyDescent="0.25">
      <c r="H52" s="81">
        <v>200</v>
      </c>
      <c r="I52" s="80">
        <v>0.4</v>
      </c>
    </row>
    <row r="53" spans="8:9" x14ac:dyDescent="0.25">
      <c r="H53" s="81">
        <v>205</v>
      </c>
      <c r="I53" s="80">
        <v>0.41</v>
      </c>
    </row>
    <row r="54" spans="8:9" x14ac:dyDescent="0.25">
      <c r="H54" s="81">
        <v>210</v>
      </c>
      <c r="I54" s="80">
        <v>0.42</v>
      </c>
    </row>
    <row r="55" spans="8:9" x14ac:dyDescent="0.25">
      <c r="H55" s="81">
        <v>215</v>
      </c>
      <c r="I55" s="80">
        <v>0.43</v>
      </c>
    </row>
    <row r="56" spans="8:9" x14ac:dyDescent="0.25">
      <c r="H56" s="81">
        <v>220</v>
      </c>
      <c r="I56" s="80">
        <v>0.44</v>
      </c>
    </row>
    <row r="57" spans="8:9" x14ac:dyDescent="0.25">
      <c r="H57" s="81">
        <v>225</v>
      </c>
      <c r="I57" s="80">
        <v>0.45</v>
      </c>
    </row>
    <row r="58" spans="8:9" x14ac:dyDescent="0.25">
      <c r="H58" s="81">
        <v>230</v>
      </c>
      <c r="I58" s="80">
        <v>0.46</v>
      </c>
    </row>
    <row r="59" spans="8:9" x14ac:dyDescent="0.25">
      <c r="H59" s="81">
        <v>235</v>
      </c>
      <c r="I59" s="80">
        <v>0.47</v>
      </c>
    </row>
    <row r="60" spans="8:9" x14ac:dyDescent="0.25">
      <c r="H60" s="81">
        <v>240</v>
      </c>
      <c r="I60" s="80">
        <v>0.48</v>
      </c>
    </row>
    <row r="61" spans="8:9" x14ac:dyDescent="0.25">
      <c r="H61" s="81">
        <v>245</v>
      </c>
      <c r="I61" s="80">
        <v>0.49</v>
      </c>
    </row>
    <row r="62" spans="8:9" x14ac:dyDescent="0.25">
      <c r="H62" s="81">
        <v>250</v>
      </c>
      <c r="I62" s="80">
        <v>0.5</v>
      </c>
    </row>
    <row r="63" spans="8:9" x14ac:dyDescent="0.25">
      <c r="H63" s="81">
        <v>255</v>
      </c>
      <c r="I63" s="80">
        <v>0.51</v>
      </c>
    </row>
    <row r="64" spans="8:9" x14ac:dyDescent="0.25">
      <c r="H64" s="81">
        <v>260</v>
      </c>
      <c r="I64" s="80">
        <v>0.52</v>
      </c>
    </row>
    <row r="65" spans="8:9" x14ac:dyDescent="0.25">
      <c r="H65" s="81">
        <v>265</v>
      </c>
      <c r="I65" s="80">
        <v>0.53</v>
      </c>
    </row>
    <row r="66" spans="8:9" x14ac:dyDescent="0.25">
      <c r="H66" s="81">
        <v>270</v>
      </c>
      <c r="I66" s="80">
        <v>0.54</v>
      </c>
    </row>
    <row r="67" spans="8:9" x14ac:dyDescent="0.25">
      <c r="H67" s="81">
        <v>275</v>
      </c>
      <c r="I67" s="80">
        <v>0.55000000000000004</v>
      </c>
    </row>
    <row r="68" spans="8:9" x14ac:dyDescent="0.25">
      <c r="H68" s="81">
        <v>280</v>
      </c>
      <c r="I68" s="80">
        <v>0.56000000000000005</v>
      </c>
    </row>
    <row r="69" spans="8:9" x14ac:dyDescent="0.25">
      <c r="H69" s="81">
        <v>285</v>
      </c>
      <c r="I69" s="80">
        <v>0.56999999999999995</v>
      </c>
    </row>
    <row r="70" spans="8:9" x14ac:dyDescent="0.25">
      <c r="H70" s="81">
        <v>290</v>
      </c>
      <c r="I70" s="80">
        <v>0.57999999999999996</v>
      </c>
    </row>
    <row r="71" spans="8:9" x14ac:dyDescent="0.25">
      <c r="H71" s="81">
        <v>295</v>
      </c>
      <c r="I71" s="80">
        <v>0.59</v>
      </c>
    </row>
    <row r="72" spans="8:9" x14ac:dyDescent="0.25">
      <c r="H72" s="81">
        <v>300</v>
      </c>
      <c r="I72" s="80">
        <v>0.6</v>
      </c>
    </row>
    <row r="73" spans="8:9" x14ac:dyDescent="0.25">
      <c r="H73" s="81">
        <v>305</v>
      </c>
      <c r="I73" s="80">
        <v>0.61</v>
      </c>
    </row>
    <row r="74" spans="8:9" x14ac:dyDescent="0.25">
      <c r="H74" s="81">
        <v>310</v>
      </c>
      <c r="I74" s="80">
        <v>0.62</v>
      </c>
    </row>
    <row r="75" spans="8:9" x14ac:dyDescent="0.25">
      <c r="H75" s="81">
        <v>315</v>
      </c>
      <c r="I75" s="80">
        <v>0.63</v>
      </c>
    </row>
    <row r="76" spans="8:9" x14ac:dyDescent="0.25">
      <c r="H76" s="81">
        <v>320</v>
      </c>
      <c r="I76" s="80">
        <v>0.64</v>
      </c>
    </row>
    <row r="77" spans="8:9" x14ac:dyDescent="0.25">
      <c r="H77" s="81">
        <v>325</v>
      </c>
      <c r="I77" s="80">
        <v>0.65</v>
      </c>
    </row>
    <row r="78" spans="8:9" x14ac:dyDescent="0.25">
      <c r="H78" s="81">
        <v>330</v>
      </c>
      <c r="I78" s="80">
        <v>0.66</v>
      </c>
    </row>
    <row r="79" spans="8:9" x14ac:dyDescent="0.25">
      <c r="H79" s="81">
        <v>335</v>
      </c>
      <c r="I79" s="80">
        <v>0.67</v>
      </c>
    </row>
    <row r="80" spans="8:9" x14ac:dyDescent="0.25">
      <c r="H80" s="81">
        <v>340</v>
      </c>
      <c r="I80" s="80">
        <v>0.68</v>
      </c>
    </row>
    <row r="81" spans="8:9" x14ac:dyDescent="0.25">
      <c r="H81" s="81">
        <v>345</v>
      </c>
      <c r="I81" s="80">
        <v>0.69</v>
      </c>
    </row>
    <row r="82" spans="8:9" x14ac:dyDescent="0.25">
      <c r="H82" s="81">
        <v>350</v>
      </c>
      <c r="I82" s="80">
        <v>0.7</v>
      </c>
    </row>
    <row r="83" spans="8:9" x14ac:dyDescent="0.25">
      <c r="H83" s="81">
        <v>355</v>
      </c>
      <c r="I83" s="80">
        <v>0.71</v>
      </c>
    </row>
    <row r="84" spans="8:9" x14ac:dyDescent="0.25">
      <c r="H84" s="81">
        <v>360</v>
      </c>
      <c r="I84" s="80">
        <v>0.72</v>
      </c>
    </row>
    <row r="85" spans="8:9" x14ac:dyDescent="0.25">
      <c r="H85" s="81">
        <v>365</v>
      </c>
      <c r="I85" s="80">
        <v>0.73</v>
      </c>
    </row>
    <row r="86" spans="8:9" x14ac:dyDescent="0.25">
      <c r="H86" s="81">
        <v>370</v>
      </c>
      <c r="I86" s="80">
        <v>0.74</v>
      </c>
    </row>
    <row r="87" spans="8:9" x14ac:dyDescent="0.25">
      <c r="H87" s="81">
        <v>375</v>
      </c>
      <c r="I87" s="80">
        <v>0.75</v>
      </c>
    </row>
    <row r="88" spans="8:9" x14ac:dyDescent="0.25">
      <c r="H88" s="81">
        <v>380</v>
      </c>
      <c r="I88" s="80">
        <v>0.76</v>
      </c>
    </row>
    <row r="89" spans="8:9" x14ac:dyDescent="0.25">
      <c r="H89" s="81">
        <v>385</v>
      </c>
      <c r="I89" s="80">
        <v>0.77</v>
      </c>
    </row>
    <row r="90" spans="8:9" x14ac:dyDescent="0.25">
      <c r="H90" s="81">
        <v>390</v>
      </c>
      <c r="I90" s="80">
        <v>0.78</v>
      </c>
    </row>
    <row r="91" spans="8:9" x14ac:dyDescent="0.25">
      <c r="H91" s="81">
        <v>395</v>
      </c>
      <c r="I91" s="80">
        <v>0.79</v>
      </c>
    </row>
    <row r="92" spans="8:9" x14ac:dyDescent="0.25">
      <c r="H92" s="81">
        <v>400</v>
      </c>
      <c r="I92" s="80">
        <v>0.8</v>
      </c>
    </row>
    <row r="93" spans="8:9" x14ac:dyDescent="0.25">
      <c r="H93" s="81">
        <v>405</v>
      </c>
      <c r="I93" s="80">
        <v>0.81</v>
      </c>
    </row>
    <row r="94" spans="8:9" x14ac:dyDescent="0.25">
      <c r="H94" s="81">
        <v>410</v>
      </c>
      <c r="I94" s="80">
        <v>0.82</v>
      </c>
    </row>
    <row r="95" spans="8:9" x14ac:dyDescent="0.25">
      <c r="H95" s="81">
        <v>415</v>
      </c>
      <c r="I95" s="80">
        <v>0.83</v>
      </c>
    </row>
    <row r="96" spans="8:9" x14ac:dyDescent="0.25">
      <c r="H96" s="81">
        <v>420</v>
      </c>
      <c r="I96" s="80">
        <v>0.84</v>
      </c>
    </row>
    <row r="97" spans="8:9" x14ac:dyDescent="0.25">
      <c r="H97" s="81">
        <v>425</v>
      </c>
      <c r="I97" s="80">
        <v>0.85</v>
      </c>
    </row>
    <row r="98" spans="8:9" x14ac:dyDescent="0.25">
      <c r="H98" s="81">
        <v>430</v>
      </c>
      <c r="I98" s="80">
        <v>0.86</v>
      </c>
    </row>
    <row r="99" spans="8:9" x14ac:dyDescent="0.25">
      <c r="H99" s="81">
        <v>435</v>
      </c>
      <c r="I99" s="80">
        <v>0.87</v>
      </c>
    </row>
    <row r="100" spans="8:9" x14ac:dyDescent="0.25">
      <c r="H100" s="81">
        <v>440</v>
      </c>
      <c r="I100" s="80">
        <v>0.88</v>
      </c>
    </row>
    <row r="101" spans="8:9" x14ac:dyDescent="0.25">
      <c r="H101" s="81">
        <v>445</v>
      </c>
      <c r="I101" s="80">
        <v>0.89</v>
      </c>
    </row>
    <row r="102" spans="8:9" x14ac:dyDescent="0.25">
      <c r="H102" s="81">
        <v>450</v>
      </c>
      <c r="I102" s="80">
        <v>0.9</v>
      </c>
    </row>
    <row r="103" spans="8:9" x14ac:dyDescent="0.25">
      <c r="H103" s="81">
        <v>455</v>
      </c>
      <c r="I103" s="80">
        <v>0.91</v>
      </c>
    </row>
    <row r="104" spans="8:9" x14ac:dyDescent="0.25">
      <c r="H104" s="81">
        <v>460</v>
      </c>
      <c r="I104" s="80">
        <v>0.92</v>
      </c>
    </row>
    <row r="105" spans="8:9" x14ac:dyDescent="0.25">
      <c r="H105" s="81">
        <v>465</v>
      </c>
      <c r="I105" s="80">
        <v>0.93</v>
      </c>
    </row>
    <row r="106" spans="8:9" x14ac:dyDescent="0.25">
      <c r="H106" s="81">
        <v>470</v>
      </c>
      <c r="I106" s="80">
        <v>0.94</v>
      </c>
    </row>
    <row r="107" spans="8:9" x14ac:dyDescent="0.25">
      <c r="H107" s="81">
        <v>475</v>
      </c>
      <c r="I107" s="80">
        <v>0.95</v>
      </c>
    </row>
    <row r="108" spans="8:9" x14ac:dyDescent="0.25">
      <c r="H108" s="81">
        <v>480</v>
      </c>
      <c r="I108" s="80">
        <v>0.96</v>
      </c>
    </row>
    <row r="109" spans="8:9" x14ac:dyDescent="0.25">
      <c r="H109" s="81">
        <v>485</v>
      </c>
      <c r="I109" s="80">
        <v>0.97</v>
      </c>
    </row>
    <row r="110" spans="8:9" x14ac:dyDescent="0.25">
      <c r="H110" s="81">
        <v>490</v>
      </c>
      <c r="I110" s="80">
        <v>0.98</v>
      </c>
    </row>
    <row r="111" spans="8:9" x14ac:dyDescent="0.25">
      <c r="H111" s="81">
        <v>495</v>
      </c>
      <c r="I111" s="80">
        <v>0.99</v>
      </c>
    </row>
    <row r="112" spans="8:9" x14ac:dyDescent="0.25">
      <c r="H112" s="81">
        <v>500</v>
      </c>
      <c r="I112" s="80">
        <v>1</v>
      </c>
    </row>
    <row r="114" spans="8:9" x14ac:dyDescent="0.25">
      <c r="H114" s="72"/>
      <c r="I114" s="72"/>
    </row>
    <row r="115" spans="8:9" x14ac:dyDescent="0.25">
      <c r="H115" s="72"/>
      <c r="I115" s="72"/>
    </row>
    <row r="116" spans="8:9" x14ac:dyDescent="0.25">
      <c r="H116" s="72"/>
      <c r="I116" s="72"/>
    </row>
    <row r="117" spans="8:9" x14ac:dyDescent="0.25">
      <c r="H117" s="72"/>
      <c r="I117" s="72"/>
    </row>
    <row r="118" spans="8:9" x14ac:dyDescent="0.25">
      <c r="H118" s="72"/>
      <c r="I118" s="72"/>
    </row>
    <row r="119" spans="8:9" x14ac:dyDescent="0.25">
      <c r="H119" s="72"/>
      <c r="I119" s="72"/>
    </row>
    <row r="120" spans="8:9" x14ac:dyDescent="0.25">
      <c r="H120" s="72"/>
      <c r="I120" s="72"/>
    </row>
    <row r="121" spans="8:9" x14ac:dyDescent="0.25">
      <c r="H121" s="72"/>
      <c r="I121" s="72"/>
    </row>
    <row r="122" spans="8:9" x14ac:dyDescent="0.25">
      <c r="H122" s="72"/>
      <c r="I122" s="72"/>
    </row>
    <row r="123" spans="8:9" x14ac:dyDescent="0.25">
      <c r="H123" s="72"/>
      <c r="I123" s="72"/>
    </row>
    <row r="124" spans="8:9" x14ac:dyDescent="0.25">
      <c r="H124" s="72"/>
      <c r="I124" s="72"/>
    </row>
    <row r="125" spans="8:9" x14ac:dyDescent="0.25">
      <c r="H125" s="72"/>
      <c r="I125" s="72"/>
    </row>
    <row r="126" spans="8:9" x14ac:dyDescent="0.25">
      <c r="H126" s="72"/>
      <c r="I126" s="72"/>
    </row>
    <row r="127" spans="8:9" x14ac:dyDescent="0.25">
      <c r="H127" s="72"/>
      <c r="I127" s="72"/>
    </row>
    <row r="128" spans="8:9" x14ac:dyDescent="0.25">
      <c r="H128" s="72"/>
      <c r="I128" s="72"/>
    </row>
    <row r="129" spans="8:9" x14ac:dyDescent="0.25">
      <c r="H129" s="72"/>
      <c r="I129" s="72"/>
    </row>
    <row r="130" spans="8:9" x14ac:dyDescent="0.25">
      <c r="H130" s="72"/>
      <c r="I130" s="72"/>
    </row>
    <row r="131" spans="8:9" x14ac:dyDescent="0.25">
      <c r="H131" s="72"/>
      <c r="I131" s="72"/>
    </row>
    <row r="132" spans="8:9" x14ac:dyDescent="0.25">
      <c r="H132" s="72"/>
      <c r="I132" s="72"/>
    </row>
    <row r="133" spans="8:9" x14ac:dyDescent="0.25">
      <c r="H133" s="72"/>
      <c r="I133" s="72"/>
    </row>
    <row r="134" spans="8:9" x14ac:dyDescent="0.25">
      <c r="H134" s="72"/>
      <c r="I134" s="72"/>
    </row>
  </sheetData>
  <customSheetViews>
    <customSheetView guid="{9202D9C8-DD47-4F7A-BFF5-A0B83E304C8F}" topLeftCell="C7">
      <selection activeCell="O28" sqref="O28"/>
      <pageMargins left="0.7" right="0.7" top="0.75" bottom="0.75" header="0.3" footer="0.3"/>
    </customSheetView>
  </customSheetViews>
  <mergeCells count="6">
    <mergeCell ref="E3:F3"/>
    <mergeCell ref="E4:E5"/>
    <mergeCell ref="F4:F5"/>
    <mergeCell ref="B3:C3"/>
    <mergeCell ref="B4:B5"/>
    <mergeCell ref="C4:C5"/>
  </mergeCells>
  <phoneticPr fontId="2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FF00"/>
  </sheetPr>
  <dimension ref="A1:O28"/>
  <sheetViews>
    <sheetView workbookViewId="0">
      <selection activeCell="G34" sqref="G34"/>
    </sheetView>
  </sheetViews>
  <sheetFormatPr baseColWidth="10" defaultRowHeight="15" x14ac:dyDescent="0.25"/>
  <cols>
    <col min="6" max="6" width="13" bestFit="1" customWidth="1"/>
    <col min="7" max="7" width="13" customWidth="1"/>
  </cols>
  <sheetData>
    <row r="1" spans="1:13" ht="15.75" thickBot="1" x14ac:dyDescent="0.3"/>
    <row r="2" spans="1:13" x14ac:dyDescent="0.25">
      <c r="D2" s="412" t="s">
        <v>91</v>
      </c>
      <c r="E2" s="413"/>
      <c r="F2" s="413"/>
      <c r="G2" s="413"/>
      <c r="H2" s="413"/>
      <c r="I2" s="413"/>
      <c r="J2" s="413"/>
      <c r="K2" s="414"/>
    </row>
    <row r="3" spans="1:13" ht="15.75" thickBot="1" x14ac:dyDescent="0.3">
      <c r="D3" s="415"/>
      <c r="E3" s="416"/>
      <c r="F3" s="416"/>
      <c r="G3" s="416"/>
      <c r="H3" s="416"/>
      <c r="I3" s="416"/>
      <c r="J3" s="416"/>
      <c r="K3" s="417"/>
    </row>
    <row r="4" spans="1:13" ht="15.75" thickBot="1" x14ac:dyDescent="0.3"/>
    <row r="5" spans="1:13" ht="15.75" thickBot="1" x14ac:dyDescent="0.3">
      <c r="A5" s="429" t="s">
        <v>45</v>
      </c>
      <c r="B5" s="430"/>
      <c r="C5" s="430"/>
      <c r="D5" s="431"/>
      <c r="E5" s="432"/>
      <c r="I5" s="429" t="s">
        <v>64</v>
      </c>
      <c r="J5" s="430"/>
      <c r="K5" s="430"/>
      <c r="L5" s="430"/>
      <c r="M5" s="432"/>
    </row>
    <row r="6" spans="1:13" ht="15.75" thickBot="1" x14ac:dyDescent="0.3">
      <c r="A6" s="435" t="s">
        <v>46</v>
      </c>
      <c r="B6" s="436"/>
      <c r="C6" s="436"/>
      <c r="D6" s="12">
        <v>38</v>
      </c>
      <c r="E6" s="38" t="s">
        <v>52</v>
      </c>
      <c r="I6" s="20" t="s">
        <v>68</v>
      </c>
      <c r="J6" s="21"/>
      <c r="K6" s="22"/>
      <c r="L6" s="18">
        <v>7.8E-2</v>
      </c>
      <c r="M6" s="38" t="s">
        <v>69</v>
      </c>
    </row>
    <row r="7" spans="1:13" ht="15.75" thickBot="1" x14ac:dyDescent="0.3">
      <c r="A7" s="435" t="s">
        <v>47</v>
      </c>
      <c r="B7" s="436"/>
      <c r="C7" s="436"/>
      <c r="D7" s="10">
        <v>0.5</v>
      </c>
      <c r="E7" s="46" t="s">
        <v>50</v>
      </c>
      <c r="I7" s="20" t="s">
        <v>65</v>
      </c>
      <c r="J7" s="21"/>
      <c r="K7" s="22"/>
      <c r="L7" s="17">
        <v>260</v>
      </c>
      <c r="M7" s="40" t="s">
        <v>70</v>
      </c>
    </row>
    <row r="8" spans="1:13" ht="15.75" thickBot="1" x14ac:dyDescent="0.3">
      <c r="A8" s="435" t="s">
        <v>48</v>
      </c>
      <c r="B8" s="436"/>
      <c r="C8" s="436"/>
      <c r="D8" s="433">
        <v>0.3</v>
      </c>
      <c r="E8" s="434"/>
      <c r="I8" s="20" t="s">
        <v>67</v>
      </c>
      <c r="J8" s="21"/>
      <c r="K8" s="22"/>
      <c r="L8" s="19">
        <v>28</v>
      </c>
      <c r="M8" s="47" t="s">
        <v>71</v>
      </c>
    </row>
    <row r="9" spans="1:13" ht="15.75" thickBot="1" x14ac:dyDescent="0.3">
      <c r="A9" s="444" t="s">
        <v>49</v>
      </c>
      <c r="B9" s="445"/>
      <c r="C9" s="445"/>
      <c r="D9" s="5">
        <f>ROUND(D6/(D7*D8),2)</f>
        <v>253.33</v>
      </c>
      <c r="E9" s="39" t="s">
        <v>51</v>
      </c>
      <c r="I9" s="20" t="s">
        <v>47</v>
      </c>
      <c r="J9" s="21"/>
      <c r="K9" s="22"/>
      <c r="L9" s="10">
        <v>0.5</v>
      </c>
      <c r="M9" s="46" t="s">
        <v>50</v>
      </c>
    </row>
    <row r="10" spans="1:13" ht="15.75" thickBot="1" x14ac:dyDescent="0.3">
      <c r="I10" s="24" t="s">
        <v>66</v>
      </c>
      <c r="J10" s="25"/>
      <c r="K10" s="26"/>
      <c r="L10" s="7">
        <f>ROUND(L6*L7*L8/1000*L9,2)</f>
        <v>0.28000000000000003</v>
      </c>
      <c r="M10" s="46" t="s">
        <v>51</v>
      </c>
    </row>
    <row r="11" spans="1:13" ht="15.75" thickBot="1" x14ac:dyDescent="0.3"/>
    <row r="12" spans="1:13" ht="15.75" thickBot="1" x14ac:dyDescent="0.3">
      <c r="A12" s="429" t="s">
        <v>53</v>
      </c>
      <c r="B12" s="430"/>
      <c r="C12" s="430"/>
      <c r="D12" s="431"/>
      <c r="E12" s="432"/>
    </row>
    <row r="13" spans="1:13" ht="15.75" thickBot="1" x14ac:dyDescent="0.3">
      <c r="A13" s="426" t="s">
        <v>55</v>
      </c>
      <c r="B13" s="427"/>
      <c r="C13" s="428"/>
      <c r="D13" s="12">
        <v>2.7</v>
      </c>
      <c r="E13" s="39" t="s">
        <v>57</v>
      </c>
      <c r="I13" s="429" t="s">
        <v>72</v>
      </c>
      <c r="J13" s="430"/>
      <c r="K13" s="430"/>
      <c r="L13" s="430"/>
      <c r="M13" s="432"/>
    </row>
    <row r="14" spans="1:13" ht="15.75" thickBot="1" x14ac:dyDescent="0.3">
      <c r="A14" s="426" t="s">
        <v>54</v>
      </c>
      <c r="B14" s="427"/>
      <c r="C14" s="428"/>
      <c r="D14" s="433">
        <v>0.73</v>
      </c>
      <c r="E14" s="449"/>
      <c r="I14" s="27" t="s">
        <v>74</v>
      </c>
      <c r="J14" s="28"/>
      <c r="K14" s="29"/>
      <c r="L14" s="17">
        <v>2</v>
      </c>
      <c r="M14" s="38" t="s">
        <v>79</v>
      </c>
    </row>
    <row r="15" spans="1:13" ht="15.75" customHeight="1" thickBot="1" x14ac:dyDescent="0.3">
      <c r="A15" s="446" t="s">
        <v>56</v>
      </c>
      <c r="B15" s="447"/>
      <c r="C15" s="448"/>
      <c r="D15" s="13">
        <f>ROUND(D13/D14,2)</f>
        <v>3.7</v>
      </c>
      <c r="E15" s="39" t="s">
        <v>51</v>
      </c>
      <c r="I15" s="30" t="s">
        <v>75</v>
      </c>
      <c r="J15" s="31"/>
      <c r="K15" s="32"/>
      <c r="L15" s="1">
        <f>L14^2</f>
        <v>4</v>
      </c>
      <c r="M15" s="40" t="s">
        <v>80</v>
      </c>
    </row>
    <row r="16" spans="1:13" ht="15.75" thickBot="1" x14ac:dyDescent="0.3">
      <c r="I16" s="30" t="s">
        <v>73</v>
      </c>
      <c r="J16" s="31"/>
      <c r="K16" s="32"/>
      <c r="L16" s="37">
        <f>(L15*10/100)+L15</f>
        <v>4.4000000000000004</v>
      </c>
      <c r="M16" s="44"/>
    </row>
    <row r="17" spans="1:15" ht="15.75" thickBot="1" x14ac:dyDescent="0.3">
      <c r="I17" s="33" t="s">
        <v>76</v>
      </c>
      <c r="J17" s="34"/>
      <c r="K17" s="35"/>
      <c r="L17" s="1">
        <f>(L16*1000)/1000000</f>
        <v>4.4000000000000003E-3</v>
      </c>
      <c r="M17" s="45" t="s">
        <v>87</v>
      </c>
      <c r="N17" s="4"/>
      <c r="O17" s="8"/>
    </row>
    <row r="18" spans="1:15" ht="18" thickBot="1" x14ac:dyDescent="0.3">
      <c r="A18" s="429" t="s">
        <v>58</v>
      </c>
      <c r="B18" s="430"/>
      <c r="C18" s="430"/>
      <c r="D18" s="431"/>
      <c r="E18" s="432"/>
      <c r="I18" s="30" t="s">
        <v>77</v>
      </c>
      <c r="J18" s="31"/>
      <c r="K18" s="32"/>
      <c r="L18" s="1">
        <v>7.85</v>
      </c>
      <c r="M18" s="44" t="s">
        <v>88</v>
      </c>
    </row>
    <row r="19" spans="1:15" ht="15.75" thickBot="1" x14ac:dyDescent="0.3">
      <c r="A19" s="426" t="s">
        <v>59</v>
      </c>
      <c r="B19" s="427"/>
      <c r="C19" s="428"/>
      <c r="D19" s="14">
        <v>20</v>
      </c>
      <c r="E19" s="38" t="s">
        <v>61</v>
      </c>
      <c r="I19" s="30" t="s">
        <v>78</v>
      </c>
      <c r="J19" s="31"/>
      <c r="K19" s="32"/>
      <c r="L19" s="42">
        <f>ROUND(L17*L18,4)</f>
        <v>3.4500000000000003E-2</v>
      </c>
      <c r="M19" s="43" t="s">
        <v>81</v>
      </c>
    </row>
    <row r="20" spans="1:15" ht="18" thickBot="1" x14ac:dyDescent="0.3">
      <c r="A20" s="426" t="s">
        <v>86</v>
      </c>
      <c r="B20" s="427"/>
      <c r="C20" s="428"/>
      <c r="D20" s="15">
        <v>10</v>
      </c>
      <c r="E20" s="40" t="s">
        <v>62</v>
      </c>
      <c r="I20" s="30" t="s">
        <v>83</v>
      </c>
      <c r="J20" s="31"/>
      <c r="K20" s="32"/>
      <c r="L20" s="37">
        <f>D15*L19</f>
        <v>0.12765000000000001</v>
      </c>
      <c r="M20" s="43" t="s">
        <v>82</v>
      </c>
    </row>
    <row r="21" spans="1:15" ht="15.75" thickBot="1" x14ac:dyDescent="0.3">
      <c r="A21" s="426" t="s">
        <v>47</v>
      </c>
      <c r="B21" s="427"/>
      <c r="C21" s="428"/>
      <c r="D21" s="16">
        <v>0.5</v>
      </c>
      <c r="E21" s="41" t="s">
        <v>50</v>
      </c>
    </row>
    <row r="22" spans="1:15" ht="15.75" thickBot="1" x14ac:dyDescent="0.3">
      <c r="A22" s="439" t="s">
        <v>60</v>
      </c>
      <c r="B22" s="440"/>
      <c r="C22" s="441"/>
      <c r="D22" s="2">
        <f>ROUND((E26*D20/D21),2)</f>
        <v>24</v>
      </c>
      <c r="E22" s="39" t="s">
        <v>51</v>
      </c>
      <c r="I22" s="420" t="s">
        <v>85</v>
      </c>
      <c r="J22" s="421"/>
      <c r="K22" s="422"/>
      <c r="L22" s="442">
        <f>ROUND((D9+D15+D22+L10)*L19,2)</f>
        <v>9.7100000000000009</v>
      </c>
      <c r="M22" s="437" t="s">
        <v>82</v>
      </c>
    </row>
    <row r="23" spans="1:15" ht="15.75" thickBot="1" x14ac:dyDescent="0.3">
      <c r="I23" s="423"/>
      <c r="J23" s="424"/>
      <c r="K23" s="425"/>
      <c r="L23" s="443"/>
      <c r="M23" s="438"/>
    </row>
    <row r="24" spans="1:15" ht="15.75" thickBot="1" x14ac:dyDescent="0.3"/>
    <row r="25" spans="1:15" ht="15.75" thickBot="1" x14ac:dyDescent="0.3">
      <c r="A25" s="9"/>
      <c r="B25" s="418" t="s">
        <v>84</v>
      </c>
      <c r="C25" s="419"/>
      <c r="E25" s="23">
        <f>D19*60</f>
        <v>1200</v>
      </c>
      <c r="F25" s="11" t="s">
        <v>92</v>
      </c>
      <c r="G25" s="49"/>
    </row>
    <row r="26" spans="1:15" ht="15.75" customHeight="1" thickBot="1" x14ac:dyDescent="0.3">
      <c r="A26" s="36"/>
      <c r="B26" s="418" t="s">
        <v>90</v>
      </c>
      <c r="C26" s="419"/>
      <c r="E26" s="23">
        <f>E25/1000</f>
        <v>1.2</v>
      </c>
      <c r="F26" s="11" t="s">
        <v>63</v>
      </c>
      <c r="G26" s="49"/>
    </row>
    <row r="27" spans="1:15" ht="15.75" thickBot="1" x14ac:dyDescent="0.3">
      <c r="A27" s="48"/>
      <c r="B27" s="418" t="s">
        <v>89</v>
      </c>
      <c r="C27" s="419"/>
    </row>
    <row r="28" spans="1:15" ht="15.75" thickBot="1" x14ac:dyDescent="0.3">
      <c r="A28" s="6"/>
      <c r="B28" s="418" t="s">
        <v>93</v>
      </c>
      <c r="C28" s="419"/>
    </row>
  </sheetData>
  <customSheetViews>
    <customSheetView guid="{9202D9C8-DD47-4F7A-BFF5-A0B83E304C8F}">
      <selection activeCell="B5" sqref="B5:F5"/>
      <pageMargins left="0.7" right="0.7" top="0.75" bottom="0.75" header="0.3" footer="0.3"/>
    </customSheetView>
  </customSheetViews>
  <mergeCells count="26">
    <mergeCell ref="M22:M23"/>
    <mergeCell ref="B27:C27"/>
    <mergeCell ref="I5:M5"/>
    <mergeCell ref="I13:M13"/>
    <mergeCell ref="A21:C21"/>
    <mergeCell ref="A22:C22"/>
    <mergeCell ref="A12:E12"/>
    <mergeCell ref="A13:C13"/>
    <mergeCell ref="L22:L23"/>
    <mergeCell ref="A7:C7"/>
    <mergeCell ref="A9:C9"/>
    <mergeCell ref="A18:E18"/>
    <mergeCell ref="A6:C6"/>
    <mergeCell ref="A14:C14"/>
    <mergeCell ref="A15:C15"/>
    <mergeCell ref="D14:E14"/>
    <mergeCell ref="D2:K3"/>
    <mergeCell ref="B28:C28"/>
    <mergeCell ref="B25:C25"/>
    <mergeCell ref="B26:C26"/>
    <mergeCell ref="I22:K23"/>
    <mergeCell ref="A19:C19"/>
    <mergeCell ref="A20:C20"/>
    <mergeCell ref="A5:E5"/>
    <mergeCell ref="D8:E8"/>
    <mergeCell ref="A8:C8"/>
  </mergeCells>
  <phoneticPr fontId="20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M1:AD2"/>
  <sheetViews>
    <sheetView workbookViewId="0">
      <selection activeCell="L1" sqref="A1:L1048576"/>
    </sheetView>
  </sheetViews>
  <sheetFormatPr baseColWidth="10" defaultRowHeight="15" x14ac:dyDescent="0.25"/>
  <cols>
    <col min="2" max="2" width="18.140625" bestFit="1" customWidth="1"/>
    <col min="3" max="3" width="15.28515625" bestFit="1" customWidth="1"/>
    <col min="4" max="4" width="11.42578125" customWidth="1"/>
    <col min="5" max="5" width="14.28515625" customWidth="1"/>
    <col min="6" max="6" width="11.42578125" customWidth="1"/>
    <col min="7" max="7" width="16.28515625" customWidth="1"/>
    <col min="8" max="8" width="23.85546875" customWidth="1"/>
    <col min="10" max="10" width="12.85546875" bestFit="1" customWidth="1"/>
    <col min="29" max="29" width="16.42578125" bestFit="1" customWidth="1"/>
  </cols>
  <sheetData>
    <row r="1" spans="13:30" x14ac:dyDescent="0.25">
      <c r="M1" s="296" t="s">
        <v>17</v>
      </c>
      <c r="N1" s="296" t="s">
        <v>18</v>
      </c>
      <c r="O1" s="296" t="s">
        <v>19</v>
      </c>
      <c r="P1" s="296" t="s">
        <v>20</v>
      </c>
      <c r="Q1" s="296" t="s">
        <v>28</v>
      </c>
      <c r="R1" s="296" t="s">
        <v>22</v>
      </c>
      <c r="S1" s="307" t="s">
        <v>21</v>
      </c>
      <c r="AA1" s="452" t="s">
        <v>163</v>
      </c>
      <c r="AB1" t="e">
        <f>VLOOKUP(AA1,LotExt,12,FALSE)</f>
        <v>#N/A</v>
      </c>
      <c r="AC1" t="e">
        <f>VLOOKUP(AA1,LotExt,5,FALSE)</f>
        <v>#N/A</v>
      </c>
      <c r="AD1" t="e">
        <f>OR(AC1="Ensemble",AC1="Sous Ensemble")</f>
        <v>#N/A</v>
      </c>
    </row>
    <row r="2" spans="13:30" ht="15.75" thickBot="1" x14ac:dyDescent="0.3">
      <c r="M2" s="297"/>
      <c r="N2" s="297"/>
      <c r="O2" s="297"/>
      <c r="P2" s="297"/>
      <c r="Q2" s="297"/>
      <c r="R2" s="297"/>
      <c r="S2" s="297"/>
    </row>
  </sheetData>
  <mergeCells count="7">
    <mergeCell ref="S1:S2"/>
    <mergeCell ref="M1:M2"/>
    <mergeCell ref="N1:N2"/>
    <mergeCell ref="O1:O2"/>
    <mergeCell ref="P1:P2"/>
    <mergeCell ref="Q1:Q2"/>
    <mergeCell ref="R1:R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U5"/>
  <sheetViews>
    <sheetView topLeftCell="B1" workbookViewId="0">
      <selection activeCell="E6" sqref="E6"/>
    </sheetView>
  </sheetViews>
  <sheetFormatPr baseColWidth="10" defaultRowHeight="15" x14ac:dyDescent="0.25"/>
  <cols>
    <col min="1" max="1" width="0" hidden="1" customWidth="1"/>
    <col min="2" max="2" width="13.7109375" customWidth="1"/>
    <col min="7" max="7" width="12" bestFit="1" customWidth="1"/>
    <col min="13" max="13" width="9.7109375" bestFit="1" customWidth="1"/>
  </cols>
  <sheetData>
    <row r="1" spans="1:21" ht="23.25" x14ac:dyDescent="0.35">
      <c r="C1" s="267" t="s">
        <v>161</v>
      </c>
      <c r="E1" s="450"/>
      <c r="F1" s="450"/>
      <c r="G1" s="450"/>
      <c r="H1" s="450"/>
      <c r="I1" s="450"/>
      <c r="J1" s="450"/>
      <c r="L1" s="451" t="s">
        <v>162</v>
      </c>
      <c r="M1" s="451"/>
      <c r="N1" s="451"/>
      <c r="O1" s="269">
        <v>1</v>
      </c>
    </row>
    <row r="2" spans="1:21" ht="23.25" x14ac:dyDescent="0.35">
      <c r="C2" s="267"/>
      <c r="E2" s="268"/>
      <c r="F2" s="268"/>
      <c r="G2" s="268"/>
      <c r="H2" s="268"/>
      <c r="I2" s="268"/>
      <c r="J2" s="268"/>
    </row>
    <row r="3" spans="1:21" ht="15.75" thickBot="1" x14ac:dyDescent="0.3"/>
    <row r="4" spans="1:21" ht="19.5" thickBot="1" x14ac:dyDescent="0.35">
      <c r="B4" s="264" t="s">
        <v>160</v>
      </c>
      <c r="C4" s="264"/>
      <c r="D4" s="264"/>
      <c r="E4" s="264"/>
      <c r="F4" s="265">
        <f>SUM(F6:F101)</f>
        <v>0</v>
      </c>
      <c r="G4" s="265">
        <f t="shared" ref="G4:U4" si="0">SUM(G6:G101)</f>
        <v>0</v>
      </c>
      <c r="H4" s="265">
        <f t="shared" si="0"/>
        <v>0</v>
      </c>
      <c r="I4" s="265">
        <f t="shared" si="0"/>
        <v>0</v>
      </c>
      <c r="J4" s="265">
        <f t="shared" si="0"/>
        <v>0</v>
      </c>
      <c r="K4" s="265">
        <f t="shared" si="0"/>
        <v>0</v>
      </c>
      <c r="L4" s="265">
        <f t="shared" si="0"/>
        <v>0</v>
      </c>
      <c r="M4" s="265">
        <f t="shared" si="0"/>
        <v>0</v>
      </c>
      <c r="N4" s="265">
        <f t="shared" si="0"/>
        <v>0</v>
      </c>
      <c r="O4" s="265">
        <f t="shared" si="0"/>
        <v>0</v>
      </c>
      <c r="P4" s="265">
        <f t="shared" si="0"/>
        <v>0</v>
      </c>
      <c r="Q4" s="265">
        <f t="shared" si="0"/>
        <v>0</v>
      </c>
      <c r="R4" s="265">
        <f t="shared" si="0"/>
        <v>0</v>
      </c>
      <c r="S4" s="266">
        <f t="shared" si="0"/>
        <v>0</v>
      </c>
      <c r="T4" s="266">
        <f t="shared" si="0"/>
        <v>0</v>
      </c>
      <c r="U4" s="266">
        <f t="shared" si="0"/>
        <v>0</v>
      </c>
    </row>
    <row r="5" spans="1:21" ht="60.75" thickBot="1" x14ac:dyDescent="0.3">
      <c r="A5" s="255" t="s">
        <v>0</v>
      </c>
      <c r="B5" s="255" t="s">
        <v>141</v>
      </c>
      <c r="C5" s="255" t="s">
        <v>142</v>
      </c>
      <c r="D5" s="256" t="s">
        <v>143</v>
      </c>
      <c r="E5" s="263" t="s">
        <v>140</v>
      </c>
      <c r="F5" s="255" t="s">
        <v>144</v>
      </c>
      <c r="G5" s="257" t="s">
        <v>145</v>
      </c>
      <c r="H5" s="258" t="s">
        <v>146</v>
      </c>
      <c r="I5" s="259" t="s">
        <v>147</v>
      </c>
      <c r="J5" s="259" t="s">
        <v>148</v>
      </c>
      <c r="K5" s="260" t="s">
        <v>149</v>
      </c>
      <c r="L5" s="260" t="s">
        <v>150</v>
      </c>
      <c r="M5" s="256" t="s">
        <v>151</v>
      </c>
      <c r="N5" s="258" t="s">
        <v>152</v>
      </c>
      <c r="O5" s="258" t="s">
        <v>153</v>
      </c>
      <c r="P5" s="258" t="s">
        <v>154</v>
      </c>
      <c r="Q5" s="261" t="s">
        <v>155</v>
      </c>
      <c r="R5" s="261" t="s">
        <v>156</v>
      </c>
      <c r="S5" s="256" t="s">
        <v>157</v>
      </c>
      <c r="T5" s="256" t="s">
        <v>158</v>
      </c>
      <c r="U5" s="262" t="s">
        <v>159</v>
      </c>
    </row>
  </sheetData>
  <mergeCells count="2">
    <mergeCell ref="E1:J1"/>
    <mergeCell ref="L1:N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Soudage manuel vierge</vt:lpstr>
      <vt:lpstr>Soudage robotisé</vt:lpstr>
      <vt:lpstr>Tableaux</vt:lpstr>
      <vt:lpstr>Soudure au mètre</vt:lpstr>
      <vt:lpstr>vib_datas</vt:lpstr>
      <vt:lpstr>Decomposition</vt:lpstr>
      <vt:lpstr>InsertLot</vt:lpstr>
      <vt:lpstr>Lot</vt:lpstr>
      <vt:lpstr>LotExt</vt:lpstr>
      <vt:lpstr>Reference</vt:lpstr>
      <vt:lpstr>ReferenceExt</vt:lpstr>
      <vt:lpstr>'Soudage manuel vierge'!Zone_d_impression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2009-04-28T10:31:45Z</cp:lastPrinted>
  <dcterms:created xsi:type="dcterms:W3CDTF">2009-04-10T10:07:07Z</dcterms:created>
  <dcterms:modified xsi:type="dcterms:W3CDTF">2015-04-07T07:50:04Z</dcterms:modified>
</cp:coreProperties>
</file>