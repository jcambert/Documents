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50" windowWidth="24300" windowHeight="12015" tabRatio="352" activeTab="6"/>
  </bookViews>
  <sheets>
    <sheet name="Calcul" sheetId="1" r:id="rId1"/>
    <sheet name="Releves" sheetId="7" r:id="rId2"/>
    <sheet name="Cadences" sheetId="8" r:id="rId3"/>
    <sheet name="abaques" sheetId="3" state="hidden" r:id="rId4"/>
    <sheet name="Cinématique" sheetId="4" state="hidden" r:id="rId5"/>
    <sheet name="Manutention" sheetId="5" r:id="rId6"/>
    <sheet name="Retournement" sheetId="6" r:id="rId7"/>
  </sheets>
  <definedNames>
    <definedName name="_xlnm.Print_Area" localSheetId="0">Calcul!$A$1:$O$30</definedName>
  </definedNames>
  <calcPr calcId="145621"/>
</workbook>
</file>

<file path=xl/calcChain.xml><?xml version="1.0" encoding="utf-8"?>
<calcChain xmlns="http://schemas.openxmlformats.org/spreadsheetml/2006/main">
  <c r="P22" i="6" l="1"/>
  <c r="K3" i="8" l="1"/>
  <c r="J3" i="8"/>
  <c r="I3" i="8"/>
  <c r="G3" i="8"/>
  <c r="H3" i="8"/>
  <c r="K42" i="8" l="1"/>
  <c r="J42" i="8"/>
  <c r="I42" i="8"/>
  <c r="K41" i="8"/>
  <c r="J41" i="8"/>
  <c r="I41" i="8"/>
  <c r="K40" i="8"/>
  <c r="J40" i="8"/>
  <c r="I40" i="8"/>
  <c r="K39" i="8"/>
  <c r="J39" i="8"/>
  <c r="I39" i="8"/>
  <c r="K38" i="8"/>
  <c r="J38" i="8"/>
  <c r="I38" i="8"/>
  <c r="K37" i="8"/>
  <c r="J37" i="8"/>
  <c r="I37" i="8"/>
  <c r="K36" i="8"/>
  <c r="J36" i="8"/>
  <c r="I36" i="8"/>
  <c r="K35" i="8"/>
  <c r="J35" i="8"/>
  <c r="I35" i="8"/>
  <c r="K34" i="8"/>
  <c r="J34" i="8"/>
  <c r="I34" i="8"/>
  <c r="K33" i="8"/>
  <c r="J33" i="8"/>
  <c r="I33" i="8"/>
  <c r="K32" i="8"/>
  <c r="J32" i="8"/>
  <c r="I32" i="8"/>
  <c r="K31" i="8"/>
  <c r="J31" i="8"/>
  <c r="I31" i="8"/>
  <c r="K30" i="8"/>
  <c r="J30" i="8"/>
  <c r="I30" i="8"/>
  <c r="K29" i="8"/>
  <c r="J29" i="8"/>
  <c r="I29" i="8"/>
  <c r="K28" i="8"/>
  <c r="J28" i="8"/>
  <c r="I28" i="8"/>
  <c r="K27" i="8"/>
  <c r="J27" i="8"/>
  <c r="I27" i="8"/>
  <c r="K26" i="8"/>
  <c r="J26" i="8"/>
  <c r="I26" i="8"/>
  <c r="K25" i="8"/>
  <c r="J25" i="8"/>
  <c r="I25" i="8"/>
  <c r="K24" i="8"/>
  <c r="J24" i="8"/>
  <c r="I24" i="8"/>
  <c r="K23" i="8"/>
  <c r="J23" i="8"/>
  <c r="I23" i="8"/>
  <c r="K22" i="8"/>
  <c r="J22" i="8"/>
  <c r="I22" i="8"/>
  <c r="K21" i="8"/>
  <c r="J21" i="8"/>
  <c r="I21" i="8"/>
  <c r="K20" i="8"/>
  <c r="J20" i="8"/>
  <c r="I20" i="8"/>
  <c r="K19" i="8"/>
  <c r="J19" i="8"/>
  <c r="I19" i="8"/>
  <c r="K18" i="8"/>
  <c r="J18" i="8"/>
  <c r="I18" i="8"/>
  <c r="K17" i="8"/>
  <c r="J17" i="8"/>
  <c r="I17" i="8"/>
  <c r="K16" i="8"/>
  <c r="J16" i="8"/>
  <c r="I16" i="8"/>
  <c r="K15" i="8"/>
  <c r="J15" i="8"/>
  <c r="I15" i="8"/>
  <c r="K14" i="8"/>
  <c r="J14" i="8"/>
  <c r="I14" i="8"/>
  <c r="K13" i="8"/>
  <c r="J13" i="8"/>
  <c r="I13" i="8"/>
  <c r="K12" i="8"/>
  <c r="J12" i="8"/>
  <c r="I12" i="8"/>
  <c r="K11" i="8"/>
  <c r="J11" i="8"/>
  <c r="I11" i="8"/>
  <c r="K10" i="8"/>
  <c r="J10" i="8"/>
  <c r="I10" i="8"/>
  <c r="K9" i="8"/>
  <c r="J9" i="8"/>
  <c r="I9" i="8"/>
  <c r="K8" i="8"/>
  <c r="J8" i="8"/>
  <c r="I8" i="8"/>
  <c r="K7" i="8"/>
  <c r="J7" i="8"/>
  <c r="I7" i="8"/>
  <c r="K6" i="8"/>
  <c r="J6" i="8"/>
  <c r="I6" i="8"/>
  <c r="K5" i="8"/>
  <c r="J5" i="8"/>
  <c r="I5" i="8"/>
  <c r="K4" i="8"/>
  <c r="J4" i="8"/>
  <c r="I4" i="8"/>
  <c r="Z1" i="1" l="1"/>
  <c r="I29" i="1" s="1"/>
  <c r="I30" i="1" l="1"/>
  <c r="C28" i="1"/>
  <c r="I28" i="1"/>
  <c r="D28" i="1"/>
  <c r="E28" i="1"/>
  <c r="E30" i="1"/>
  <c r="E29" i="1"/>
  <c r="C27" i="1"/>
  <c r="F27" i="1"/>
  <c r="G27" i="1"/>
  <c r="H27" i="1"/>
  <c r="H30" i="1"/>
  <c r="F30" i="1"/>
  <c r="H26" i="1"/>
  <c r="G26" i="1"/>
  <c r="D26" i="1"/>
  <c r="C26" i="1"/>
  <c r="K2" i="6"/>
  <c r="K3" i="6" s="1"/>
  <c r="J2" i="6"/>
  <c r="M25" i="1"/>
  <c r="G25" i="1" s="1"/>
  <c r="F25" i="1" l="1"/>
  <c r="H25" i="1"/>
  <c r="C25" i="1"/>
  <c r="D25" i="1"/>
  <c r="J3" i="6"/>
  <c r="J4" i="6" s="1"/>
  <c r="K4" i="6"/>
  <c r="J6" i="6" l="1"/>
  <c r="K6" i="6" s="1"/>
  <c r="E25" i="1" s="1"/>
  <c r="K2" i="5" l="1"/>
  <c r="J2" i="5"/>
  <c r="K3" i="5" l="1"/>
  <c r="K4" i="5" s="1"/>
  <c r="K7" i="5"/>
  <c r="J3" i="5"/>
  <c r="J4" i="5" s="1"/>
  <c r="J6" i="5" s="1"/>
  <c r="M30" i="1"/>
  <c r="N29" i="1" s="1"/>
  <c r="O29" i="1" s="1"/>
  <c r="M29" i="1"/>
  <c r="M28" i="1"/>
  <c r="K6" i="5" l="1"/>
  <c r="M23" i="1"/>
  <c r="M24" i="1"/>
  <c r="N24" i="1" s="1"/>
  <c r="M22" i="1"/>
  <c r="E21" i="1" l="1"/>
  <c r="E27" i="1" s="1"/>
  <c r="F21" i="1"/>
  <c r="F26" i="1" s="1"/>
  <c r="A14" i="3"/>
  <c r="A13" i="3"/>
  <c r="E26" i="1" l="1"/>
  <c r="N26" i="1" s="1"/>
  <c r="O26" i="1" s="1"/>
  <c r="N27" i="1"/>
  <c r="O27" i="1" s="1"/>
  <c r="E22" i="1"/>
  <c r="N22" i="1" s="1"/>
  <c r="O22" i="1" s="1"/>
  <c r="N23" i="1"/>
  <c r="O23" i="1" s="1"/>
  <c r="O24" i="1"/>
  <c r="N25" i="1"/>
  <c r="O25" i="1" s="1"/>
  <c r="N28" i="1"/>
  <c r="O28" i="1" s="1"/>
  <c r="N30" i="1"/>
  <c r="O30" i="1" s="1"/>
  <c r="N21" i="1"/>
  <c r="O21" i="1" s="1"/>
  <c r="A12" i="3"/>
  <c r="A11" i="3"/>
  <c r="A10" i="3"/>
  <c r="A9" i="3"/>
  <c r="A8" i="3"/>
  <c r="A7" i="3"/>
  <c r="A6" i="3"/>
  <c r="O1" i="1" l="1"/>
  <c r="O3" i="1" l="1"/>
  <c r="O2" i="1"/>
</calcChain>
</file>

<file path=xl/comments1.xml><?xml version="1.0" encoding="utf-8"?>
<comments xmlns="http://schemas.openxmlformats.org/spreadsheetml/2006/main">
  <authors>
    <author>Jean-Christophe Ambert</author>
  </authors>
  <commentList>
    <comment ref="C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0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0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0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0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0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0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sharedStrings.xml><?xml version="1.0" encoding="utf-8"?>
<sst xmlns="http://schemas.openxmlformats.org/spreadsheetml/2006/main" count="189" uniqueCount="150">
  <si>
    <t>Seconde</t>
  </si>
  <si>
    <t>TMU</t>
  </si>
  <si>
    <t>A</t>
  </si>
  <si>
    <t>B</t>
  </si>
  <si>
    <t>G</t>
  </si>
  <si>
    <t>P</t>
  </si>
  <si>
    <t>M</t>
  </si>
  <si>
    <t>Deplacement</t>
  </si>
  <si>
    <t>Mouvement corps</t>
  </si>
  <si>
    <t>Saisir</t>
  </si>
  <si>
    <t>Placer</t>
  </si>
  <si>
    <t>Mesurer</t>
  </si>
  <si>
    <t>&lt;5cm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</si>
  <si>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</si>
  <si>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</si>
  <si>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</si>
  <si>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</si>
  <si>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</si>
  <si>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</si>
  <si>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</si>
  <si>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</si>
  <si>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</si>
  <si>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</si>
  <si>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</si>
  <si>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</si>
  <si>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</si>
  <si>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</si>
  <si>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</si>
  <si>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</si>
  <si>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Gabarit pour profil</t>
  </si>
  <si>
    <t>8-10 pas</t>
  </si>
  <si>
    <t>Passer une porte, monter sur, descendre de</t>
  </si>
  <si>
    <t>&gt;50 et &lt;60Kg</t>
  </si>
  <si>
    <t>Metre/reglet/raporteur</t>
  </si>
  <si>
    <t>&gt;60 et &lt;100kg</t>
  </si>
  <si>
    <t>Pied à coulisse</t>
  </si>
  <si>
    <t>10-12 pas</t>
  </si>
  <si>
    <t>Reference</t>
  </si>
  <si>
    <t>Operation</t>
  </si>
  <si>
    <t>Pliage</t>
  </si>
  <si>
    <t>Parametres</t>
  </si>
  <si>
    <t>Nombre de plis</t>
  </si>
  <si>
    <t>Poids (Kg)</t>
  </si>
  <si>
    <t>Temps (Sec)</t>
  </si>
  <si>
    <t>Nombre de gabarit</t>
  </si>
  <si>
    <t>Nombre retournement</t>
  </si>
  <si>
    <t>Séquences</t>
  </si>
  <si>
    <t>T</t>
  </si>
  <si>
    <t>Coef</t>
  </si>
  <si>
    <t>Q</t>
  </si>
  <si>
    <t>Aucun mouvement</t>
  </si>
  <si>
    <t>Aucune prise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</si>
  <si>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</si>
  <si>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</si>
  <si>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</si>
  <si>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</si>
  <si>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</si>
  <si>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</si>
  <si>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</si>
  <si>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</si>
  <si>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</si>
  <si>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</t>
  </si>
  <si>
    <t>Secondes</t>
  </si>
  <si>
    <t>Cadence (p/h)</t>
  </si>
  <si>
    <t>Tech
 (sec)</t>
  </si>
  <si>
    <t>Freq contrôle</t>
  </si>
  <si>
    <t>Prendre pièce dans appros et poser dans vé</t>
  </si>
  <si>
    <t>&gt;40 et &lt;50Kg</t>
  </si>
  <si>
    <t>D</t>
  </si>
  <si>
    <t>Précision très importante</t>
  </si>
  <si>
    <t>Client</t>
  </si>
  <si>
    <t>Colonne1</t>
  </si>
  <si>
    <t>Colonne2</t>
  </si>
  <si>
    <t>Colonne3</t>
  </si>
  <si>
    <t>Colonne4</t>
  </si>
  <si>
    <t>Colonne5</t>
  </si>
  <si>
    <t>Colonne6</t>
  </si>
  <si>
    <t>Colonne7</t>
  </si>
  <si>
    <t>Départ de cycle</t>
  </si>
  <si>
    <t>devant contenant d'appro</t>
  </si>
  <si>
    <t>se baisser</t>
  </si>
  <si>
    <t>Poser aimant</t>
  </si>
  <si>
    <t>Lever légèrement l'aimant</t>
  </si>
  <si>
    <t>Lever l'aimant</t>
  </si>
  <si>
    <t>se déplacer vers le bati</t>
  </si>
  <si>
    <t>Poser pièce sur le vé</t>
  </si>
  <si>
    <t>Relever l'aimant</t>
  </si>
  <si>
    <t>Lacher l'aimant</t>
  </si>
  <si>
    <t>Mettre la pièce en butée</t>
  </si>
  <si>
    <t>Vérifier la mise en butée</t>
  </si>
  <si>
    <t>Mettre le pied sur la pédale</t>
  </si>
  <si>
    <t>Appuyer sur la pédale</t>
  </si>
  <si>
    <t>Attendre cycle machine</t>
  </si>
  <si>
    <t>Retenir la pièce</t>
  </si>
  <si>
    <t>Enlever pied de la pédale</t>
  </si>
  <si>
    <t>Enlever pièce du vé</t>
  </si>
  <si>
    <t>Poser la pièce sur support machine</t>
  </si>
  <si>
    <t>Prendre l'aimant</t>
  </si>
  <si>
    <t>Retourner la pièce</t>
  </si>
  <si>
    <t>Baisser l'aimant</t>
  </si>
  <si>
    <t>Désarmer l'aimant</t>
  </si>
  <si>
    <t>Se retourner</t>
  </si>
  <si>
    <t>Se déplacer vers marbre</t>
  </si>
  <si>
    <t>Prendre la pièce</t>
  </si>
  <si>
    <t>Se baisser</t>
  </si>
  <si>
    <t>Déposer la pièce</t>
  </si>
  <si>
    <t>Se relever</t>
  </si>
  <si>
    <t>Se déplacer vers "Départ cycle"</t>
  </si>
  <si>
    <t>Poser aimant sur la pièce</t>
  </si>
  <si>
    <t>Se déplacer vers contenant</t>
  </si>
  <si>
    <t>Armer l'aimant</t>
  </si>
  <si>
    <t>Engager l'aimant</t>
  </si>
  <si>
    <t>Controler</t>
  </si>
  <si>
    <t>b</t>
  </si>
  <si>
    <t>Pièce légère</t>
  </si>
  <si>
    <t>Retournement</t>
  </si>
  <si>
    <t>Contrôle</t>
  </si>
  <si>
    <t>Piece lourde</t>
  </si>
  <si>
    <t>Se deplacer vers marbre</t>
  </si>
  <si>
    <t>Prendre les moyens de contrôle</t>
  </si>
  <si>
    <t>Déposer les moyens de contrôle</t>
  </si>
  <si>
    <t>Se deplacer vers bati</t>
  </si>
  <si>
    <t>Se déplacer vers bati</t>
  </si>
  <si>
    <t>Prende</t>
  </si>
  <si>
    <t>Seq.
Suivante</t>
  </si>
  <si>
    <t>Longueur</t>
  </si>
  <si>
    <t xml:space="preserve">Longueur mm </t>
  </si>
  <si>
    <t>Poids en kg</t>
  </si>
  <si>
    <t>Lg</t>
  </si>
  <si>
    <t>Poids</t>
  </si>
  <si>
    <t>Grab</t>
  </si>
  <si>
    <t>Distance</t>
  </si>
  <si>
    <t>Temps de Retournement</t>
  </si>
  <si>
    <t>Temps de manutention</t>
  </si>
  <si>
    <t>Temps(Min,Dix)</t>
  </si>
  <si>
    <t>Recherche de la plage</t>
  </si>
  <si>
    <t>Recherche colonne/ligne</t>
  </si>
  <si>
    <t>Retournement pour conditionnement</t>
  </si>
  <si>
    <t>Operateur</t>
  </si>
  <si>
    <t>Date</t>
  </si>
  <si>
    <t>Temps cycle (sec)</t>
  </si>
  <si>
    <t>Compteur</t>
  </si>
  <si>
    <t>Fin</t>
  </si>
  <si>
    <t>Periode</t>
  </si>
  <si>
    <t>Nombre de pièce</t>
  </si>
  <si>
    <t>Cadence</t>
  </si>
  <si>
    <t>Ecart %</t>
  </si>
  <si>
    <t>Début</t>
  </si>
  <si>
    <t>Heure</t>
  </si>
  <si>
    <t>Ecrat 
Temps / Estimation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</si>
</sst>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#,##0.00_ ;[Red]\-#,##0.00\ 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Palatino Linotype"/>
      <family val="1"/>
    </font>
    <font>
      <b/>
      <sz val="8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7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9" fontId="13" fillId="0" borderId="0" applyFont="0" applyFill="0" applyBorder="0" applyAlignment="0" applyProtection="0"/>
  </cellStyleXfs>
  <cellXfs count="92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ont="1"/>
    <xf numFmtId="0" fontId="6" fillId="0" borderId="0" xfId="0" applyFont="1"/>
    <xf numFmtId="0" fontId="7" fillId="7" borderId="16" xfId="0" applyFont="1" applyFill="1" applyBorder="1" applyAlignment="1">
      <alignment horizontal="right"/>
    </xf>
    <xf numFmtId="0" fontId="8" fillId="8" borderId="17" xfId="0" applyFont="1" applyFill="1" applyBorder="1" applyAlignment="1">
      <alignment horizontal="left"/>
    </xf>
    <xf numFmtId="0" fontId="8" fillId="9" borderId="11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2" fontId="8" fillId="9" borderId="10" xfId="0" applyNumberFormat="1" applyFont="1" applyFill="1" applyBorder="1" applyAlignment="1">
      <alignment horizontal="center"/>
    </xf>
    <xf numFmtId="2" fontId="8" fillId="9" borderId="7" xfId="0" applyNumberFormat="1" applyFont="1" applyFill="1" applyBorder="1" applyAlignment="1">
      <alignment horizontal="center"/>
    </xf>
    <xf numFmtId="2" fontId="8" fillId="9" borderId="4" xfId="0" applyNumberFormat="1" applyFont="1" applyFill="1" applyBorder="1" applyAlignment="1">
      <alignment horizontal="center"/>
    </xf>
    <xf numFmtId="2" fontId="8" fillId="9" borderId="11" xfId="0" applyNumberFormat="1" applyFont="1" applyFill="1" applyBorder="1" applyAlignment="1">
      <alignment horizontal="center"/>
    </xf>
    <xf numFmtId="2" fontId="8" fillId="9" borderId="0" xfId="0" applyNumberFormat="1" applyFont="1" applyFill="1" applyBorder="1" applyAlignment="1">
      <alignment horizontal="center"/>
    </xf>
    <xf numFmtId="2" fontId="8" fillId="8" borderId="13" xfId="0" applyNumberFormat="1" applyFont="1" applyFill="1" applyBorder="1" applyAlignment="1">
      <alignment horizontal="center"/>
    </xf>
    <xf numFmtId="2" fontId="8" fillId="8" borderId="14" xfId="0" applyNumberFormat="1" applyFont="1" applyFill="1" applyBorder="1" applyAlignment="1">
      <alignment horizontal="center"/>
    </xf>
    <xf numFmtId="0" fontId="8" fillId="8" borderId="13" xfId="0" applyNumberFormat="1" applyFont="1" applyFill="1" applyBorder="1" applyAlignment="1">
      <alignment horizontal="center"/>
    </xf>
    <xf numFmtId="164" fontId="8" fillId="8" borderId="13" xfId="0" applyNumberFormat="1" applyFont="1" applyFill="1" applyBorder="1" applyAlignment="1">
      <alignment horizontal="center"/>
    </xf>
    <xf numFmtId="164" fontId="8" fillId="8" borderId="14" xfId="0" applyNumberFormat="1" applyFont="1" applyFill="1" applyBorder="1" applyAlignment="1">
      <alignment horizontal="center"/>
    </xf>
    <xf numFmtId="164" fontId="5" fillId="3" borderId="0" xfId="2" applyNumberFormat="1" applyFont="1" applyAlignment="1" applyProtection="1"/>
    <xf numFmtId="1" fontId="5" fillId="3" borderId="0" xfId="2" applyNumberFormat="1" applyFont="1" applyAlignment="1" applyProtection="1"/>
    <xf numFmtId="0" fontId="3" fillId="0" borderId="0" xfId="0" applyFont="1" applyProtection="1"/>
    <xf numFmtId="0" fontId="9" fillId="2" borderId="0" xfId="1" applyFont="1" applyProtection="1"/>
    <xf numFmtId="0" fontId="9" fillId="4" borderId="0" xfId="3" applyFont="1" applyAlignment="1" applyProtection="1">
      <alignment horizontal="left"/>
      <protection locked="0"/>
    </xf>
    <xf numFmtId="0" fontId="10" fillId="0" borderId="0" xfId="0" applyFont="1" applyProtection="1"/>
    <xf numFmtId="0" fontId="5" fillId="5" borderId="0" xfId="4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2" borderId="0" xfId="1" applyFont="1" applyAlignment="1" applyProtection="1">
      <alignment wrapText="1"/>
    </xf>
    <xf numFmtId="0" fontId="3" fillId="0" borderId="15" xfId="0" applyFont="1" applyBorder="1" applyProtection="1"/>
    <xf numFmtId="0" fontId="11" fillId="2" borderId="2" xfId="1" applyFont="1" applyBorder="1" applyAlignment="1" applyProtection="1">
      <alignment vertical="center" wrapText="1"/>
    </xf>
    <xf numFmtId="0" fontId="11" fillId="2" borderId="2" xfId="1" applyFont="1" applyBorder="1" applyAlignment="1" applyProtection="1">
      <alignment vertical="center"/>
    </xf>
    <xf numFmtId="0" fontId="11" fillId="2" borderId="12" xfId="1" applyFont="1" applyBorder="1" applyProtection="1"/>
    <xf numFmtId="0" fontId="5" fillId="2" borderId="9" xfId="1" applyFont="1" applyBorder="1" applyProtection="1"/>
    <xf numFmtId="0" fontId="5" fillId="2" borderId="5" xfId="1" applyFont="1" applyBorder="1" applyProtection="1"/>
    <xf numFmtId="0" fontId="5" fillId="2" borderId="6" xfId="1" applyFont="1" applyBorder="1" applyProtection="1"/>
    <xf numFmtId="0" fontId="5" fillId="2" borderId="13" xfId="1" applyFont="1" applyBorder="1" applyProtection="1"/>
    <xf numFmtId="0" fontId="9" fillId="6" borderId="1" xfId="5" applyFont="1" applyBorder="1" applyProtection="1"/>
    <xf numFmtId="0" fontId="9" fillId="6" borderId="2" xfId="5" applyFont="1" applyBorder="1" applyProtection="1"/>
    <xf numFmtId="2" fontId="9" fillId="6" borderId="2" xfId="5" applyNumberFormat="1" applyFont="1" applyBorder="1" applyProtection="1"/>
    <xf numFmtId="2" fontId="9" fillId="6" borderId="3" xfId="5" applyNumberFormat="1" applyFont="1" applyBorder="1" applyProtection="1"/>
    <xf numFmtId="0" fontId="9" fillId="6" borderId="22" xfId="5" applyFont="1" applyBorder="1" applyProtection="1"/>
    <xf numFmtId="0" fontId="9" fillId="6" borderId="7" xfId="5" applyFont="1" applyBorder="1" applyProtection="1"/>
    <xf numFmtId="0" fontId="9" fillId="6" borderId="4" xfId="5" applyFont="1" applyBorder="1" applyProtection="1"/>
    <xf numFmtId="2" fontId="9" fillId="6" borderId="7" xfId="5" applyNumberFormat="1" applyFont="1" applyBorder="1" applyProtection="1"/>
    <xf numFmtId="2" fontId="9" fillId="6" borderId="8" xfId="5" applyNumberFormat="1" applyFont="1" applyBorder="1" applyProtection="1"/>
    <xf numFmtId="0" fontId="9" fillId="6" borderId="0" xfId="5" applyFont="1" applyBorder="1" applyProtection="1"/>
    <xf numFmtId="0" fontId="5" fillId="2" borderId="14" xfId="1" applyFont="1" applyBorder="1" applyProtection="1"/>
    <xf numFmtId="0" fontId="9" fillId="6" borderId="23" xfId="5" applyFont="1" applyBorder="1" applyProtection="1"/>
    <xf numFmtId="0" fontId="9" fillId="6" borderId="5" xfId="5" applyFont="1" applyBorder="1" applyProtection="1"/>
    <xf numFmtId="2" fontId="9" fillId="6" borderId="23" xfId="5" applyNumberFormat="1" applyFont="1" applyBorder="1" applyProtection="1"/>
    <xf numFmtId="2" fontId="9" fillId="6" borderId="25" xfId="5" applyNumberFormat="1" applyFont="1" applyBorder="1" applyProtection="1"/>
    <xf numFmtId="0" fontId="12" fillId="0" borderId="0" xfId="0" applyFont="1" applyProtection="1"/>
    <xf numFmtId="14" fontId="0" fillId="0" borderId="0" xfId="0" applyNumberFormat="1"/>
    <xf numFmtId="20" fontId="0" fillId="0" borderId="0" xfId="0" applyNumberFormat="1"/>
    <xf numFmtId="1" fontId="0" fillId="0" borderId="0" xfId="0" applyNumberFormat="1"/>
    <xf numFmtId="165" fontId="0" fillId="0" borderId="0" xfId="0" applyNumberFormat="1"/>
    <xf numFmtId="9" fontId="0" fillId="0" borderId="0" xfId="6" applyFont="1"/>
    <xf numFmtId="2" fontId="0" fillId="0" borderId="0" xfId="0" applyNumberFormat="1"/>
    <xf numFmtId="0" fontId="5" fillId="2" borderId="5" xfId="1" applyFont="1" applyBorder="1"/>
    <xf numFmtId="0" fontId="9" fillId="2" borderId="0" xfId="1" applyFont="1" applyAlignment="1" applyProtection="1">
      <alignment horizontal="right"/>
    </xf>
    <xf numFmtId="0" fontId="9" fillId="2" borderId="0" xfId="1" applyFont="1" applyAlignment="1" applyProtection="1">
      <alignment horizontal="center"/>
    </xf>
    <xf numFmtId="0" fontId="9" fillId="4" borderId="0" xfId="3" applyFont="1" applyAlignment="1" applyProtection="1">
      <alignment horizontal="left"/>
      <protection locked="0"/>
    </xf>
    <xf numFmtId="0" fontId="5" fillId="4" borderId="0" xfId="3" applyFont="1" applyAlignment="1" applyProtection="1">
      <alignment horizontal="left"/>
      <protection locked="0"/>
    </xf>
    <xf numFmtId="0" fontId="11" fillId="2" borderId="1" xfId="1" applyFont="1" applyBorder="1" applyAlignment="1" applyProtection="1">
      <alignment horizontal="center" vertical="center"/>
    </xf>
    <xf numFmtId="0" fontId="11" fillId="2" borderId="2" xfId="1" applyFont="1" applyBorder="1" applyAlignment="1" applyProtection="1">
      <alignment horizontal="center" vertical="center"/>
    </xf>
    <xf numFmtId="0" fontId="11" fillId="2" borderId="3" xfId="1" applyFont="1" applyBorder="1" applyAlignment="1" applyProtection="1">
      <alignment horizontal="center" vertical="center"/>
    </xf>
    <xf numFmtId="0" fontId="9" fillId="6" borderId="24" xfId="5" applyFont="1" applyBorder="1" applyAlignment="1" applyProtection="1">
      <alignment horizontal="center"/>
    </xf>
    <xf numFmtId="0" fontId="9" fillId="6" borderId="9" xfId="5" applyFont="1" applyBorder="1" applyAlignment="1" applyProtection="1">
      <alignment horizontal="center"/>
    </xf>
    <xf numFmtId="0" fontId="5" fillId="2" borderId="5" xfId="1" applyFont="1" applyBorder="1" applyAlignment="1" applyProtection="1">
      <alignment horizontal="center"/>
    </xf>
    <xf numFmtId="0" fontId="9" fillId="6" borderId="21" xfId="5" applyFont="1" applyBorder="1" applyAlignment="1" applyProtection="1">
      <alignment horizontal="center"/>
    </xf>
    <xf numFmtId="0" fontId="9" fillId="6" borderId="11" xfId="5" applyFont="1" applyBorder="1" applyAlignment="1" applyProtection="1">
      <alignment horizontal="center"/>
    </xf>
    <xf numFmtId="0" fontId="9" fillId="6" borderId="19" xfId="5" applyFont="1" applyBorder="1" applyAlignment="1" applyProtection="1">
      <alignment horizontal="center"/>
    </xf>
    <xf numFmtId="0" fontId="9" fillId="6" borderId="20" xfId="5" applyFont="1" applyBorder="1" applyAlignment="1" applyProtection="1">
      <alignment horizontal="center"/>
    </xf>
    <xf numFmtId="0" fontId="5" fillId="2" borderId="2" xfId="1" applyFont="1" applyBorder="1" applyAlignment="1">
      <alignment horizontal="center" wrapText="1"/>
    </xf>
    <xf numFmtId="0" fontId="5" fillId="2" borderId="5" xfId="1" applyFont="1" applyBorder="1" applyAlignment="1">
      <alignment horizontal="center"/>
    </xf>
    <xf numFmtId="0" fontId="5" fillId="2" borderId="3" xfId="1" applyFont="1" applyBorder="1" applyAlignment="1">
      <alignment horizontal="center"/>
    </xf>
    <xf numFmtId="0" fontId="5" fillId="2" borderId="6" xfId="1" applyFont="1" applyBorder="1" applyAlignment="1">
      <alignment horizontal="center"/>
    </xf>
    <xf numFmtId="0" fontId="14" fillId="2" borderId="2" xfId="1" applyFont="1" applyBorder="1" applyAlignment="1">
      <alignment horizontal="center"/>
    </xf>
    <xf numFmtId="0" fontId="5" fillId="2" borderId="1" xfId="1" applyFont="1" applyBorder="1" applyAlignment="1">
      <alignment horizontal="center"/>
    </xf>
    <xf numFmtId="0" fontId="5" fillId="2" borderId="26" xfId="1" applyFont="1" applyBorder="1" applyAlignment="1">
      <alignment horizontal="center"/>
    </xf>
    <xf numFmtId="0" fontId="5" fillId="2" borderId="2" xfId="1" applyFont="1" applyBorder="1" applyAlignment="1">
      <alignment horizontal="center"/>
    </xf>
    <xf numFmtId="0" fontId="0" fillId="0" borderId="0" xfId="0" applyAlignment="1">
      <alignment horizontal="center"/>
    </xf>
    <xf numFmtId="0" fontId="5" fillId="2" borderId="18" xfId="1" applyFont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 readingOrder="1"/>
    </xf>
  </cellXfs>
  <cellStyles count="7">
    <cellStyle name="60 % - Accent1" xfId="5" builtinId="32"/>
    <cellStyle name="Accent1" xfId="1" builtinId="29"/>
    <cellStyle name="Accent3" xfId="2" builtinId="37"/>
    <cellStyle name="Accent4" xfId="3" builtinId="41"/>
    <cellStyle name="Accent6" xfId="4" builtinId="49"/>
    <cellStyle name="Normal" xfId="0" builtinId="0"/>
    <cellStyle name="Pourcentage" xfId="6" builtinId="5"/>
  </cellStyles>
  <dxfs count="5">
    <dxf>
      <font>
        <color rgb="FF9C0006"/>
      </font>
      <numFmt numFmtId="1" formatCode="0"/>
      <fill>
        <patternFill>
          <bgColor rgb="FFFFC7CE"/>
        </patternFill>
      </fill>
    </dxf>
    <dxf>
      <numFmt numFmtId="1" formatCode="0"/>
      <fill>
        <patternFill>
          <bgColor rgb="FF92D050"/>
        </patternFill>
      </fill>
    </dxf>
    <dxf>
      <font>
        <color rgb="FF9C0006"/>
      </font>
      <numFmt numFmtId="2" formatCode="0.00"/>
      <fill>
        <patternFill>
          <bgColor rgb="FFFFC7CE"/>
        </patternFill>
      </fill>
    </dxf>
    <dxf>
      <font>
        <b val="0"/>
        <i/>
        <color auto="1"/>
      </font>
      <numFmt numFmtId="2" formatCode="0.00"/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trendline>
            <c:trendlineType val="exp"/>
            <c:dispRSqr val="1"/>
            <c:dispEq val="1"/>
            <c:trendlineLbl>
              <c:layout/>
              <c:numFmt formatCode="General" sourceLinked="0"/>
            </c:trendlineLbl>
          </c:trendline>
          <c:val>
            <c:numRef>
              <c:f>Retournement!$O$2:$O$19</c:f>
              <c:numCache>
                <c:formatCode>General</c:formatCode>
                <c:ptCount val="18"/>
                <c:pt idx="0">
                  <c:v>500</c:v>
                </c:pt>
                <c:pt idx="1">
                  <c:v>2500</c:v>
                </c:pt>
                <c:pt idx="2">
                  <c:v>4995</c:v>
                </c:pt>
                <c:pt idx="3">
                  <c:v>5000</c:v>
                </c:pt>
                <c:pt idx="4">
                  <c:v>7500</c:v>
                </c:pt>
                <c:pt idx="5">
                  <c:v>9990</c:v>
                </c:pt>
                <c:pt idx="6">
                  <c:v>14985</c:v>
                </c:pt>
                <c:pt idx="7">
                  <c:v>19980</c:v>
                </c:pt>
                <c:pt idx="8">
                  <c:v>39980</c:v>
                </c:pt>
                <c:pt idx="9">
                  <c:v>119920</c:v>
                </c:pt>
                <c:pt idx="10">
                  <c:v>374750</c:v>
                </c:pt>
                <c:pt idx="11">
                  <c:v>500000</c:v>
                </c:pt>
                <c:pt idx="12">
                  <c:v>640000</c:v>
                </c:pt>
                <c:pt idx="13">
                  <c:v>749500</c:v>
                </c:pt>
                <c:pt idx="14">
                  <c:v>999500</c:v>
                </c:pt>
                <c:pt idx="15">
                  <c:v>1999000</c:v>
                </c:pt>
                <c:pt idx="16">
                  <c:v>2997000</c:v>
                </c:pt>
                <c:pt idx="17">
                  <c:v>11997000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Retournement!$P$2:$P$19</c:f>
              <c:numCache>
                <c:formatCode>General</c:formatCode>
                <c:ptCount val="18"/>
                <c:pt idx="0">
                  <c:v>0.03</c:v>
                </c:pt>
                <c:pt idx="1">
                  <c:v>0.05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0.15</c:v>
                </c:pt>
                <c:pt idx="6">
                  <c:v>0.35</c:v>
                </c:pt>
                <c:pt idx="7">
                  <c:v>0.5</c:v>
                </c:pt>
                <c:pt idx="8">
                  <c:v>0.92</c:v>
                </c:pt>
                <c:pt idx="9">
                  <c:v>1</c:v>
                </c:pt>
                <c:pt idx="10">
                  <c:v>1.5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2.5</c:v>
                </c:pt>
                <c:pt idx="15">
                  <c:v>3</c:v>
                </c:pt>
                <c:pt idx="16">
                  <c:v>4</c:v>
                </c:pt>
                <c:pt idx="17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83136"/>
        <c:axId val="78285056"/>
      </c:lineChart>
      <c:catAx>
        <c:axId val="78283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8285056"/>
        <c:crosses val="autoZero"/>
        <c:auto val="1"/>
        <c:lblAlgn val="ctr"/>
        <c:lblOffset val="100"/>
        <c:noMultiLvlLbl val="0"/>
      </c:catAx>
      <c:valAx>
        <c:axId val="78285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283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962025</xdr:colOff>
      <xdr:row>2</xdr:row>
      <xdr:rowOff>85725</xdr:rowOff>
    </xdr:from>
    <xdr:to>
      <xdr:col>2</xdr:col>
      <xdr:colOff>0</xdr:colOff>
      <xdr:row>54</xdr:row>
      <xdr:rowOff>9525</xdr:rowOff>
    </xdr:to>
    <xdr:cxnSp macro="">
      <xdr:nvCxnSpPr>
        <xdr:cNvPr id="3" name="Connecteur droit avec flèche 2"/>
        <xdr:cNvCxnSpPr/>
      </xdr:nvCxnSpPr>
      <xdr:spPr>
        <a:xfrm flipH="1">
          <a:off x="1724025" y="466725"/>
          <a:ext cx="9525" cy="77343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290512</xdr:colOff>
      <xdr:row>12</xdr:row>
      <xdr:rowOff>171450</xdr:rowOff>
    </xdr:from>
    <xdr:to>
      <xdr:col>13</xdr:col>
      <xdr:colOff>290512</xdr:colOff>
      <xdr:row>27</xdr:row>
      <xdr:rowOff>47625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4"/>
    <tableColumn id="6" name="Colonne6"/>
    <tableColumn id="7" name="Colonne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Z30"/>
  <sheetViews>
    <sheetView zoomScale="110" zoomScaleNormal="110" zoomScaleSheetLayoutView="100" workbookViewId="0">
      <selection activeCell="G3" sqref="G3"/>
    </sheetView>
  </sheetViews>
  <sheetFormatPr baseColWidth="10" defaultColWidth="4.85546875" defaultRowHeight="15" x14ac:dyDescent="0.25"/>
  <cols>
    <col min="1" max="1" width="21.28515625" bestFit="1" customWidth="1"/>
    <col min="2" max="2" width="43" bestFit="1" customWidth="1"/>
    <col min="3" max="8" width="4.85546875" customWidth="1"/>
    <col min="9" max="9" width="3" customWidth="1"/>
    <col min="10" max="10" width="7" customWidth="1"/>
    <col min="11" max="11" width="13.7109375" customWidth="1"/>
    <col min="12" max="12" width="9.7109375" customWidth="1"/>
    <col min="13" max="13" width="5.5703125" customWidth="1"/>
    <col min="14" max="14" width="10.5703125" bestFit="1" customWidth="1"/>
    <col min="15" max="15" width="11.7109375" customWidth="1"/>
    <col min="26" max="26" width="5.7109375" bestFit="1" customWidth="1"/>
  </cols>
  <sheetData>
    <row r="1" spans="1:26" ht="18.75" x14ac:dyDescent="0.3">
      <c r="A1" s="23" t="s">
        <v>37</v>
      </c>
      <c r="B1" s="24"/>
      <c r="C1" s="62" t="s">
        <v>42</v>
      </c>
      <c r="D1" s="62"/>
      <c r="E1" s="62"/>
      <c r="F1" s="62"/>
      <c r="G1" s="63">
        <v>1</v>
      </c>
      <c r="H1" s="63"/>
      <c r="I1" s="63"/>
      <c r="J1" s="63"/>
      <c r="K1" s="25"/>
      <c r="L1" s="61" t="s">
        <v>43</v>
      </c>
      <c r="M1" s="61"/>
      <c r="N1" s="61"/>
      <c r="O1" s="20">
        <f>SUM(O21:O30)</f>
        <v>21.32</v>
      </c>
      <c r="Z1" t="b">
        <f>OR($G$2&gt;1000,$G$1&gt;20)</f>
        <v>0</v>
      </c>
    </row>
    <row r="2" spans="1:26" ht="18.75" x14ac:dyDescent="0.3">
      <c r="A2" s="23" t="s">
        <v>70</v>
      </c>
      <c r="B2" s="24"/>
      <c r="C2" s="62" t="s">
        <v>125</v>
      </c>
      <c r="D2" s="62"/>
      <c r="E2" s="62"/>
      <c r="F2" s="62"/>
      <c r="G2" s="63">
        <v>1</v>
      </c>
      <c r="H2" s="63"/>
      <c r="I2" s="63"/>
      <c r="J2" s="63"/>
      <c r="K2" s="25"/>
      <c r="L2" s="61" t="s">
        <v>134</v>
      </c>
      <c r="M2" s="61"/>
      <c r="N2" s="61"/>
      <c r="O2" s="20">
        <f>O1/60</f>
        <v>0.35533333333333333</v>
      </c>
    </row>
    <row r="3" spans="1:26" ht="18.75" x14ac:dyDescent="0.3">
      <c r="A3" s="23" t="s">
        <v>38</v>
      </c>
      <c r="B3" s="26" t="s">
        <v>39</v>
      </c>
      <c r="C3" s="27"/>
      <c r="D3" s="27"/>
      <c r="E3" s="27"/>
      <c r="F3" s="27"/>
      <c r="G3" s="27"/>
      <c r="H3" s="27"/>
      <c r="I3" s="27"/>
      <c r="J3" s="27"/>
      <c r="K3" s="25"/>
      <c r="L3" s="61" t="s">
        <v>63</v>
      </c>
      <c r="M3" s="61"/>
      <c r="N3" s="61"/>
      <c r="O3" s="21">
        <f>IF(OR(ISBLANK(O1),O1=0),0,3600/O1)</f>
        <v>168.85553470919325</v>
      </c>
    </row>
    <row r="4" spans="1:26" ht="18.75" x14ac:dyDescent="0.3">
      <c r="A4" s="22"/>
      <c r="B4" s="22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</row>
    <row r="5" spans="1:26" ht="18.75" x14ac:dyDescent="0.3">
      <c r="A5" s="23" t="s">
        <v>40</v>
      </c>
      <c r="B5" s="23" t="s">
        <v>41</v>
      </c>
      <c r="C5" s="64">
        <v>1</v>
      </c>
      <c r="D5" s="64"/>
      <c r="E5" s="64"/>
      <c r="F5" s="64"/>
      <c r="G5" s="64"/>
      <c r="H5" s="25"/>
      <c r="I5" s="25"/>
      <c r="J5" s="25"/>
      <c r="K5" s="25"/>
      <c r="L5" s="25"/>
      <c r="M5" s="25"/>
      <c r="N5" s="25"/>
      <c r="O5" s="25"/>
    </row>
    <row r="6" spans="1:26" ht="18.75" x14ac:dyDescent="0.3">
      <c r="A6" s="22"/>
      <c r="B6" s="23" t="s">
        <v>45</v>
      </c>
      <c r="C6" s="64">
        <v>0</v>
      </c>
      <c r="D6" s="64"/>
      <c r="E6" s="64"/>
      <c r="F6" s="64"/>
      <c r="G6" s="64"/>
      <c r="H6" s="28"/>
      <c r="I6" s="25"/>
      <c r="J6" s="25"/>
      <c r="K6" s="25"/>
      <c r="L6" s="25"/>
      <c r="M6" s="25"/>
      <c r="N6" s="25"/>
      <c r="O6" s="25"/>
    </row>
    <row r="7" spans="1:26" ht="37.5" x14ac:dyDescent="0.3">
      <c r="A7" s="22"/>
      <c r="B7" s="29" t="s">
        <v>137</v>
      </c>
      <c r="C7" s="64">
        <v>0</v>
      </c>
      <c r="D7" s="64"/>
      <c r="E7" s="64"/>
      <c r="F7" s="64"/>
      <c r="G7" s="64"/>
      <c r="H7" s="28"/>
      <c r="I7" s="25"/>
      <c r="J7" s="25"/>
      <c r="K7" s="25"/>
      <c r="L7" s="25"/>
      <c r="M7" s="25"/>
      <c r="N7" s="25"/>
      <c r="O7" s="25"/>
    </row>
    <row r="8" spans="1:26" ht="18.75" x14ac:dyDescent="0.3">
      <c r="A8" s="22"/>
      <c r="B8" s="23" t="s">
        <v>44</v>
      </c>
      <c r="C8" s="64">
        <v>0</v>
      </c>
      <c r="D8" s="64"/>
      <c r="E8" s="64"/>
      <c r="F8" s="64"/>
      <c r="G8" s="64"/>
      <c r="H8" s="28"/>
      <c r="I8" s="28"/>
      <c r="J8" s="25"/>
      <c r="K8" s="25"/>
      <c r="L8" s="25"/>
      <c r="M8" s="25"/>
      <c r="N8" s="25"/>
      <c r="O8" s="25"/>
    </row>
    <row r="9" spans="1:26" ht="21" x14ac:dyDescent="0.35">
      <c r="A9" s="53"/>
      <c r="B9" s="23" t="s">
        <v>65</v>
      </c>
      <c r="C9" s="64">
        <v>0</v>
      </c>
      <c r="D9" s="64"/>
      <c r="E9" s="64"/>
      <c r="F9" s="64"/>
      <c r="G9" s="64"/>
      <c r="H9" s="28"/>
      <c r="I9" s="28"/>
      <c r="J9" s="25"/>
      <c r="K9" s="25"/>
      <c r="L9" s="25"/>
      <c r="M9" s="25"/>
      <c r="N9" s="25"/>
      <c r="O9" s="25"/>
    </row>
    <row r="10" spans="1:26" ht="0.2" customHeight="1" x14ac:dyDescent="0.35">
      <c r="A10" s="53"/>
      <c r="B10" s="25"/>
      <c r="C10" s="28"/>
      <c r="D10" s="28"/>
      <c r="E10" s="28"/>
      <c r="F10" s="28"/>
      <c r="G10" s="28"/>
      <c r="H10" s="28"/>
      <c r="I10" s="28"/>
      <c r="J10" s="25"/>
      <c r="K10" s="25"/>
      <c r="L10" s="25"/>
      <c r="M10" s="25"/>
      <c r="N10" s="25"/>
      <c r="O10" s="25"/>
    </row>
    <row r="11" spans="1:26" ht="0.2" customHeight="1" x14ac:dyDescent="0.35">
      <c r="A11" s="53"/>
      <c r="B11" s="25"/>
      <c r="C11" s="28"/>
      <c r="D11" s="28"/>
      <c r="E11" s="28"/>
      <c r="F11" s="28"/>
      <c r="G11" s="28"/>
      <c r="H11" s="28"/>
      <c r="I11" s="28"/>
      <c r="J11" s="25"/>
      <c r="K11" s="25"/>
      <c r="L11" s="25"/>
      <c r="M11" s="25"/>
      <c r="N11" s="25"/>
      <c r="O11" s="25"/>
    </row>
    <row r="12" spans="1:26" ht="0.2" customHeight="1" x14ac:dyDescent="0.35">
      <c r="A12" s="53"/>
      <c r="B12" s="25"/>
      <c r="C12" s="28"/>
      <c r="D12" s="28"/>
      <c r="E12" s="28"/>
      <c r="F12" s="28"/>
      <c r="G12" s="28"/>
      <c r="H12" s="28"/>
      <c r="I12" s="28"/>
      <c r="J12" s="25"/>
      <c r="K12" s="25"/>
      <c r="L12" s="25"/>
      <c r="M12" s="25"/>
      <c r="N12" s="25"/>
      <c r="O12" s="25"/>
    </row>
    <row r="13" spans="1:26" ht="0.2" customHeight="1" x14ac:dyDescent="0.35">
      <c r="A13" s="53"/>
      <c r="B13" s="25"/>
      <c r="C13" s="28"/>
      <c r="D13" s="28"/>
      <c r="E13" s="28"/>
      <c r="F13" s="28"/>
      <c r="G13" s="28"/>
      <c r="H13" s="28"/>
      <c r="I13" s="28"/>
      <c r="J13" s="25"/>
      <c r="K13" s="25"/>
      <c r="L13" s="25"/>
      <c r="M13" s="25"/>
      <c r="N13" s="25"/>
      <c r="O13" s="25"/>
    </row>
    <row r="14" spans="1:26" ht="0.2" customHeight="1" x14ac:dyDescent="0.35">
      <c r="A14" s="53"/>
      <c r="B14" s="25"/>
      <c r="C14" s="28"/>
      <c r="D14" s="28"/>
      <c r="E14" s="28"/>
      <c r="F14" s="28"/>
      <c r="G14" s="28"/>
      <c r="H14" s="28"/>
      <c r="I14" s="28"/>
      <c r="J14" s="25"/>
      <c r="K14" s="25"/>
      <c r="L14" s="25"/>
      <c r="M14" s="25"/>
      <c r="N14" s="25"/>
      <c r="O14" s="25"/>
    </row>
    <row r="15" spans="1:26" ht="0.2" customHeight="1" x14ac:dyDescent="0.35">
      <c r="A15" s="53"/>
      <c r="B15" s="25"/>
      <c r="C15" s="28"/>
      <c r="D15" s="28"/>
      <c r="E15" s="28"/>
      <c r="F15" s="28"/>
      <c r="G15" s="28"/>
      <c r="H15" s="28"/>
      <c r="I15" s="28"/>
      <c r="J15" s="25"/>
      <c r="K15" s="25"/>
      <c r="L15" s="25"/>
      <c r="M15" s="25"/>
      <c r="N15" s="25"/>
      <c r="O15" s="25"/>
    </row>
    <row r="16" spans="1:26" ht="0.2" customHeight="1" x14ac:dyDescent="0.35">
      <c r="A16" s="53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</row>
    <row r="17" spans="1:15" ht="0.2" customHeight="1" x14ac:dyDescent="0.35">
      <c r="A17" s="53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</row>
    <row r="18" spans="1:15" ht="21.75" thickBot="1" x14ac:dyDescent="0.4">
      <c r="A18" s="53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</row>
    <row r="19" spans="1:15" ht="57" thickBot="1" x14ac:dyDescent="0.35">
      <c r="A19" s="25"/>
      <c r="B19" s="30"/>
      <c r="C19" s="65" t="s">
        <v>123</v>
      </c>
      <c r="D19" s="66"/>
      <c r="E19" s="66"/>
      <c r="F19" s="66" t="s">
        <v>10</v>
      </c>
      <c r="G19" s="66"/>
      <c r="H19" s="66"/>
      <c r="I19" s="66" t="s">
        <v>11</v>
      </c>
      <c r="J19" s="66"/>
      <c r="K19" s="31" t="s">
        <v>124</v>
      </c>
      <c r="L19" s="31" t="s">
        <v>64</v>
      </c>
      <c r="M19" s="32" t="s">
        <v>48</v>
      </c>
      <c r="N19" s="66" t="s">
        <v>61</v>
      </c>
      <c r="O19" s="67"/>
    </row>
    <row r="20" spans="1:15" ht="19.5" thickBot="1" x14ac:dyDescent="0.35">
      <c r="A20" s="25"/>
      <c r="B20" s="33" t="s">
        <v>46</v>
      </c>
      <c r="C20" s="34" t="s">
        <v>68</v>
      </c>
      <c r="D20" s="35" t="s">
        <v>3</v>
      </c>
      <c r="E20" s="35" t="s">
        <v>4</v>
      </c>
      <c r="F20" s="35" t="s">
        <v>68</v>
      </c>
      <c r="G20" s="35" t="s">
        <v>3</v>
      </c>
      <c r="H20" s="35" t="s">
        <v>5</v>
      </c>
      <c r="I20" s="70" t="s">
        <v>6</v>
      </c>
      <c r="J20" s="70"/>
      <c r="K20" s="35" t="s">
        <v>68</v>
      </c>
      <c r="L20" s="35" t="s">
        <v>47</v>
      </c>
      <c r="M20" s="35" t="s">
        <v>49</v>
      </c>
      <c r="N20" s="35" t="s">
        <v>1</v>
      </c>
      <c r="O20" s="36" t="s">
        <v>62</v>
      </c>
    </row>
    <row r="21" spans="1:15" ht="18.75" x14ac:dyDescent="0.3">
      <c r="A21" s="25"/>
      <c r="B21" s="37" t="s">
        <v>66</v>
      </c>
      <c r="C21" s="38">
        <v>1</v>
      </c>
      <c r="D21" s="39">
        <v>6</v>
      </c>
      <c r="E21" s="39">
        <f>Manutention!$K$6</f>
        <v>0</v>
      </c>
      <c r="F21" s="39">
        <f>Manutention!$K$7</f>
        <v>1</v>
      </c>
      <c r="G21" s="39">
        <v>1</v>
      </c>
      <c r="H21" s="39">
        <v>3</v>
      </c>
      <c r="I21" s="73"/>
      <c r="J21" s="74"/>
      <c r="K21" s="39"/>
      <c r="L21" s="39"/>
      <c r="M21" s="39"/>
      <c r="N21" s="40">
        <f>IF(ISBLANK(L21),(C21+D21+E21+F21+G21+H21+I21+K21)*10,L21/0.036)*IF(ISBLANK(M21),1,M21)</f>
        <v>120</v>
      </c>
      <c r="O21" s="41">
        <f>N21*0.036</f>
        <v>4.3199999999999994</v>
      </c>
    </row>
    <row r="22" spans="1:15" ht="18.75" x14ac:dyDescent="0.3">
      <c r="A22" s="25"/>
      <c r="B22" s="37" t="s">
        <v>52</v>
      </c>
      <c r="C22" s="42">
        <v>1</v>
      </c>
      <c r="D22" s="43"/>
      <c r="E22" s="43">
        <f>ROUNDUP(E21/3,0)</f>
        <v>0</v>
      </c>
      <c r="F22" s="43">
        <v>3</v>
      </c>
      <c r="G22" s="43"/>
      <c r="H22" s="43">
        <v>6</v>
      </c>
      <c r="I22" s="71"/>
      <c r="J22" s="72"/>
      <c r="K22" s="43"/>
      <c r="L22" s="44"/>
      <c r="M22" s="44">
        <f>$C$5</f>
        <v>1</v>
      </c>
      <c r="N22" s="45">
        <f t="shared" ref="N22:N30" si="0">IF(ISBLANK(L22),(C22+D22+E22+F22+G22+H22+I22+K22)*10,L22/0.036)*IF(ISBLANK(M22),1,M22)</f>
        <v>100</v>
      </c>
      <c r="O22" s="46">
        <f t="shared" ref="O22:O30" si="1">N22*0.036</f>
        <v>3.5999999999999996</v>
      </c>
    </row>
    <row r="23" spans="1:15" ht="18.75" x14ac:dyDescent="0.3">
      <c r="A23" s="25"/>
      <c r="B23" s="37" t="s">
        <v>53</v>
      </c>
      <c r="C23" s="42">
        <v>3</v>
      </c>
      <c r="D23" s="43"/>
      <c r="E23" s="43"/>
      <c r="F23" s="43"/>
      <c r="G23" s="43"/>
      <c r="H23" s="43"/>
      <c r="I23" s="71"/>
      <c r="J23" s="72"/>
      <c r="K23" s="43"/>
      <c r="L23" s="44"/>
      <c r="M23" s="44">
        <f t="shared" ref="M23:M24" si="2">$C$5</f>
        <v>1</v>
      </c>
      <c r="N23" s="45">
        <f t="shared" si="0"/>
        <v>30</v>
      </c>
      <c r="O23" s="46">
        <f t="shared" si="1"/>
        <v>1.0799999999999998</v>
      </c>
    </row>
    <row r="24" spans="1:15" ht="18.75" x14ac:dyDescent="0.3">
      <c r="A24" s="25"/>
      <c r="B24" s="37" t="s">
        <v>54</v>
      </c>
      <c r="C24" s="42"/>
      <c r="D24" s="43"/>
      <c r="E24" s="43"/>
      <c r="F24" s="43"/>
      <c r="G24" s="43"/>
      <c r="H24" s="43"/>
      <c r="I24" s="71"/>
      <c r="J24" s="72"/>
      <c r="K24" s="43">
        <v>6</v>
      </c>
      <c r="L24" s="44">
        <v>8</v>
      </c>
      <c r="M24" s="44">
        <f t="shared" si="2"/>
        <v>1</v>
      </c>
      <c r="N24" s="45">
        <f>IF(ISBLANK(L24),(C24+D24+E24+F24+G24+H24+I24+K24)*10,L24/0.036)*IF(ISBLANK(M24),1,M24)</f>
        <v>222.22222222222223</v>
      </c>
      <c r="O24" s="46">
        <f t="shared" si="1"/>
        <v>8</v>
      </c>
    </row>
    <row r="25" spans="1:15" ht="18.75" x14ac:dyDescent="0.3">
      <c r="A25" s="25"/>
      <c r="B25" s="37" t="s">
        <v>55</v>
      </c>
      <c r="C25" s="42">
        <f>IF($M$25&gt;0,1,0)</f>
        <v>0</v>
      </c>
      <c r="D25" s="43">
        <f>IF($M$25&gt;0,6,0)</f>
        <v>0</v>
      </c>
      <c r="E25" s="43">
        <f>IF($M$25&gt;0,Retournement!$K$6,0)</f>
        <v>0</v>
      </c>
      <c r="F25" s="43">
        <f>IF($M$25&gt;0,3,0)</f>
        <v>0</v>
      </c>
      <c r="G25" s="43">
        <f>IF($M$25&gt;0,6,0)</f>
        <v>0</v>
      </c>
      <c r="H25" s="43">
        <f>IF($M$25&gt;0,3,0)</f>
        <v>0</v>
      </c>
      <c r="I25" s="71"/>
      <c r="J25" s="72"/>
      <c r="K25" s="43"/>
      <c r="L25" s="44"/>
      <c r="M25" s="44">
        <f>C6+C7</f>
        <v>0</v>
      </c>
      <c r="N25" s="45">
        <f t="shared" si="0"/>
        <v>0</v>
      </c>
      <c r="O25" s="46">
        <f t="shared" si="1"/>
        <v>0</v>
      </c>
    </row>
    <row r="26" spans="1:15" ht="18.75" x14ac:dyDescent="0.3">
      <c r="A26" s="25"/>
      <c r="B26" s="37" t="s">
        <v>56</v>
      </c>
      <c r="C26" s="42">
        <f t="shared" ref="C26:H26" si="3">C21</f>
        <v>1</v>
      </c>
      <c r="D26" s="43">
        <f t="shared" si="3"/>
        <v>6</v>
      </c>
      <c r="E26" s="43">
        <f t="shared" si="3"/>
        <v>0</v>
      </c>
      <c r="F26" s="43">
        <f t="shared" si="3"/>
        <v>1</v>
      </c>
      <c r="G26" s="43">
        <f t="shared" si="3"/>
        <v>1</v>
      </c>
      <c r="H26" s="43">
        <f t="shared" si="3"/>
        <v>3</v>
      </c>
      <c r="I26" s="71"/>
      <c r="J26" s="72"/>
      <c r="K26" s="43"/>
      <c r="L26" s="44"/>
      <c r="M26" s="44"/>
      <c r="N26" s="45">
        <f t="shared" si="0"/>
        <v>120</v>
      </c>
      <c r="O26" s="46">
        <f t="shared" si="1"/>
        <v>4.3199999999999994</v>
      </c>
    </row>
    <row r="27" spans="1:15" ht="18.75" x14ac:dyDescent="0.3">
      <c r="A27" s="25"/>
      <c r="B27" s="37" t="s">
        <v>57</v>
      </c>
      <c r="C27" s="42">
        <f>IF($Z$1,0,C21)</f>
        <v>1</v>
      </c>
      <c r="D27" s="43"/>
      <c r="E27" s="43">
        <f>IF($Z$1,0,E21)</f>
        <v>0</v>
      </c>
      <c r="F27" s="43">
        <f>IF($Z$1,0,6)</f>
        <v>6</v>
      </c>
      <c r="G27" s="43">
        <f>IF($Z$1,0,3)</f>
        <v>3</v>
      </c>
      <c r="H27" s="43">
        <f>IF($Z$1,0,3)</f>
        <v>3</v>
      </c>
      <c r="I27" s="71"/>
      <c r="J27" s="72"/>
      <c r="K27" s="43"/>
      <c r="L27" s="44"/>
      <c r="M27" s="47"/>
      <c r="N27" s="45">
        <f>IF(ISBLANK(L27),(C27+D27+E27+F27+G27+H27+I27+K27)*10,L27/0.036)*IF(ISBLANK(M28),1,M28)</f>
        <v>0</v>
      </c>
      <c r="O27" s="46">
        <f t="shared" si="1"/>
        <v>0</v>
      </c>
    </row>
    <row r="28" spans="1:15" ht="18.75" x14ac:dyDescent="0.3">
      <c r="A28" s="25"/>
      <c r="B28" s="37" t="s">
        <v>58</v>
      </c>
      <c r="C28" s="42">
        <f>IF($Z$1,12,1)</f>
        <v>1</v>
      </c>
      <c r="D28" s="43">
        <f>IF($Z$1,3,0)</f>
        <v>0</v>
      </c>
      <c r="E28" s="43">
        <f>IF($Z$1,3,0)</f>
        <v>0</v>
      </c>
      <c r="F28" s="43">
        <v>1</v>
      </c>
      <c r="G28" s="43"/>
      <c r="H28" s="43">
        <v>1</v>
      </c>
      <c r="I28" s="71">
        <f>ROUNDUP(abaques!$B$11*IF($Z$1,1.25,1),0)</f>
        <v>16</v>
      </c>
      <c r="J28" s="72"/>
      <c r="K28" s="43"/>
      <c r="L28" s="44"/>
      <c r="M28" s="44">
        <f>IF($C$9&gt;0,$C$5/$C$9,0)</f>
        <v>0</v>
      </c>
      <c r="N28" s="45">
        <f>IF(ISBLANK(L28),(C28+D28+E28+F28+G28+H28+I28+K28)*10,L28/0.036)*IF(ISBLANK(M29),1,M29)</f>
        <v>0</v>
      </c>
      <c r="O28" s="46">
        <f t="shared" si="1"/>
        <v>0</v>
      </c>
    </row>
    <row r="29" spans="1:15" ht="18.75" x14ac:dyDescent="0.3">
      <c r="A29" s="25"/>
      <c r="B29" s="37" t="s">
        <v>59</v>
      </c>
      <c r="C29" s="42">
        <v>1</v>
      </c>
      <c r="D29" s="43"/>
      <c r="E29" s="43">
        <f t="shared" ref="E29:E30" si="4">IF($Z$1,3,0)</f>
        <v>0</v>
      </c>
      <c r="F29" s="43">
        <v>1</v>
      </c>
      <c r="G29" s="43"/>
      <c r="H29" s="43">
        <v>1</v>
      </c>
      <c r="I29" s="71">
        <f>ROUNDUP(abaques!$B$11*IF($Z$1,1.25,1),0)</f>
        <v>16</v>
      </c>
      <c r="J29" s="72"/>
      <c r="K29" s="43"/>
      <c r="L29" s="44"/>
      <c r="M29" s="44">
        <f>IF($C$9&gt;0,($C$5+2)/$C$9,0)</f>
        <v>0</v>
      </c>
      <c r="N29" s="45">
        <f>IF(ISBLANK(L29),(C29+D29+E29+F29+G29+H29+I29+K29)*10,L29/0.036)*IF(ISBLANK(M30),1,M30)</f>
        <v>0</v>
      </c>
      <c r="O29" s="46">
        <f t="shared" ref="O29" si="5">N29*0.036</f>
        <v>0</v>
      </c>
    </row>
    <row r="30" spans="1:15" ht="19.5" thickBot="1" x14ac:dyDescent="0.35">
      <c r="A30" s="25"/>
      <c r="B30" s="48" t="s">
        <v>60</v>
      </c>
      <c r="C30" s="42">
        <v>1</v>
      </c>
      <c r="D30" s="49"/>
      <c r="E30" s="43">
        <f t="shared" si="4"/>
        <v>0</v>
      </c>
      <c r="F30" s="49">
        <f>IF($C$8&gt;0,3,0)</f>
        <v>0</v>
      </c>
      <c r="G30" s="49"/>
      <c r="H30" s="49">
        <f>IF($C$8&gt;0,3,0)</f>
        <v>0</v>
      </c>
      <c r="I30" s="68">
        <f>ROUNDUP(abaques!$B$10*IF($Z$1,1.2,1),0)</f>
        <v>10</v>
      </c>
      <c r="J30" s="69"/>
      <c r="K30" s="49"/>
      <c r="L30" s="50"/>
      <c r="M30" s="50">
        <f>IF($C$9&gt;0,($C$8)/$C$9,0)</f>
        <v>0</v>
      </c>
      <c r="N30" s="51">
        <f t="shared" si="0"/>
        <v>0</v>
      </c>
      <c r="O30" s="52">
        <f t="shared" si="1"/>
        <v>0</v>
      </c>
    </row>
  </sheetData>
  <dataConsolidate/>
  <mergeCells count="27">
    <mergeCell ref="N19:O19"/>
    <mergeCell ref="I30:J30"/>
    <mergeCell ref="I20:J20"/>
    <mergeCell ref="I24:J24"/>
    <mergeCell ref="I25:J25"/>
    <mergeCell ref="I26:J26"/>
    <mergeCell ref="I27:J27"/>
    <mergeCell ref="I28:J28"/>
    <mergeCell ref="I29:J29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  <mergeCell ref="C9:G9"/>
    <mergeCell ref="L1:N1"/>
    <mergeCell ref="L3:N3"/>
    <mergeCell ref="C2:F2"/>
    <mergeCell ref="G2:J2"/>
    <mergeCell ref="C1:F1"/>
    <mergeCell ref="G1:J1"/>
    <mergeCell ref="L2:N2"/>
  </mergeCells>
  <dataValidations count="9">
    <dataValidation type="whole" operator="greaterThanOrEqual" allowBlank="1" showInputMessage="1" showErrorMessage="1" sqref="L22:L30">
      <formula1>0</formula1>
    </dataValidation>
    <dataValidation type="decimal" operator="greaterThanOrEqual" allowBlank="1" showInputMessage="1" showErrorMessage="1" sqref="L21 M21:M26 M28:M30">
      <formula1>0</formula1>
    </dataValidation>
    <dataValidation type="whole" operator="greaterThan" allowBlank="1" showErrorMessage="1" errorTitle="Erreur" error="Le nombre de pli doit etre &gt; 0" sqref="C5:G5">
      <formula1>0</formula1>
    </dataValidation>
    <dataValidation type="whole" operator="greaterThanOrEqual" allowBlank="1" showInputMessage="1" showErrorMessage="1" errorTitle="Erreur" error="Le nombre de retournement doit etre &gt;= 0" sqref="C6:G6">
      <formula1>0</formula1>
    </dataValidation>
    <dataValidation type="whole" operator="greaterThanOrEqual" allowBlank="1" showInputMessage="1" showErrorMessage="1" errorTitle="Erreur" error="Le nombre de retournement doit etre &gt;=0" sqref="C7:G7">
      <formula1>0</formula1>
    </dataValidation>
    <dataValidation type="whole" operator="greaterThanOrEqual" allowBlank="1" showInputMessage="1" showErrorMessage="1" errorTitle="Erreur" error="Le nombre de gabarit doit etre &gt;=0" sqref="C8:G8">
      <formula1>0</formula1>
    </dataValidation>
    <dataValidation type="whole" operator="greaterThan" allowBlank="1" showInputMessage="1" showErrorMessage="1" errorTitle="Erreur" error="La frequence de controle doit etre &gt; 0" sqref="K8">
      <formula1>0</formula1>
    </dataValidation>
    <dataValidation type="whole" operator="greaterThan" allowBlank="1" showInputMessage="1" showErrorMessage="1" errorTitle="Erreur" error="Le poids doit etre &gt;0" sqref="G1:J1">
      <formula1>0</formula1>
    </dataValidation>
    <dataValidation type="whole" operator="greaterThan" allowBlank="1" showInputMessage="1" showErrorMessage="1" errorTitle="Erreur" error="La longueur doit etre &gt; 0" sqref="G2:J2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D2"/>
  <sheetViews>
    <sheetView zoomScale="96" zoomScaleNormal="96" workbookViewId="0">
      <selection activeCell="D2" sqref="D2"/>
    </sheetView>
  </sheetViews>
  <sheetFormatPr baseColWidth="10" defaultRowHeight="15" x14ac:dyDescent="0.25"/>
  <sheetData>
    <row r="1" spans="2:4" x14ac:dyDescent="0.25">
      <c r="B1" t="s">
        <v>138</v>
      </c>
      <c r="C1" t="s">
        <v>139</v>
      </c>
      <c r="D1" t="s">
        <v>140</v>
      </c>
    </row>
    <row r="2" spans="2:4" x14ac:dyDescent="0.25">
      <c r="C2" s="5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N42"/>
  <sheetViews>
    <sheetView workbookViewId="0">
      <selection activeCell="H3" sqref="H3"/>
    </sheetView>
  </sheetViews>
  <sheetFormatPr baseColWidth="10" defaultRowHeight="15" x14ac:dyDescent="0.25"/>
  <cols>
    <col min="4" max="4" width="12.5703125" bestFit="1" customWidth="1"/>
    <col min="6" max="6" width="12.5703125" bestFit="1" customWidth="1"/>
    <col min="7" max="7" width="10.140625" bestFit="1" customWidth="1"/>
    <col min="8" max="8" width="20.85546875" bestFit="1" customWidth="1"/>
    <col min="10" max="10" width="23" customWidth="1"/>
  </cols>
  <sheetData>
    <row r="1" spans="1:14" ht="21" x14ac:dyDescent="0.35">
      <c r="A1" s="80" t="s">
        <v>138</v>
      </c>
      <c r="B1" s="82" t="s">
        <v>139</v>
      </c>
      <c r="C1" s="79" t="s">
        <v>147</v>
      </c>
      <c r="D1" s="79"/>
      <c r="E1" s="79" t="s">
        <v>142</v>
      </c>
      <c r="F1" s="79"/>
      <c r="G1" s="82" t="s">
        <v>143</v>
      </c>
      <c r="H1" s="82" t="s">
        <v>144</v>
      </c>
      <c r="I1" s="82" t="s">
        <v>145</v>
      </c>
      <c r="J1" s="75" t="s">
        <v>149</v>
      </c>
      <c r="K1" s="77" t="s">
        <v>146</v>
      </c>
    </row>
    <row r="2" spans="1:14" ht="19.5" thickBot="1" x14ac:dyDescent="0.35">
      <c r="A2" s="81"/>
      <c r="B2" s="76"/>
      <c r="C2" s="60" t="s">
        <v>148</v>
      </c>
      <c r="D2" s="60" t="s">
        <v>141</v>
      </c>
      <c r="E2" s="60" t="s">
        <v>142</v>
      </c>
      <c r="F2" s="60" t="s">
        <v>141</v>
      </c>
      <c r="G2" s="76"/>
      <c r="H2" s="76"/>
      <c r="I2" s="76"/>
      <c r="J2" s="76"/>
      <c r="K2" s="78"/>
    </row>
    <row r="3" spans="1:14" x14ac:dyDescent="0.25">
      <c r="B3" s="54"/>
      <c r="C3" s="55"/>
      <c r="E3" s="55"/>
      <c r="G3" s="55" t="str">
        <f>IF(OR(ISBLANK(E3),ISBLANK(C3)),"",E3-C3)</f>
        <v/>
      </c>
      <c r="H3">
        <f>F3-D3</f>
        <v>0</v>
      </c>
      <c r="I3" s="56" t="str">
        <f>IF(OR(ISBLANK(C3),ISBLANK(G3),G3=0),"",ROUNDUP(60*H3/(G3*1440),0))</f>
        <v/>
      </c>
      <c r="J3" s="57" t="str">
        <f>IF(OR(ISBLANK(C3),ISBLANK(G3),G3=0),"",Calcul!O3-I3)</f>
        <v/>
      </c>
      <c r="K3" s="58" t="str">
        <f>IF(OR(ISBLANK(C3),ISBLANK(G3),G3=0),"",J3/I3)</f>
        <v/>
      </c>
      <c r="L3" s="55"/>
      <c r="N3" s="59"/>
    </row>
    <row r="4" spans="1:14" x14ac:dyDescent="0.25">
      <c r="B4" s="54"/>
      <c r="C4" s="55"/>
      <c r="E4" s="55"/>
      <c r="G4" s="55"/>
      <c r="I4" s="56" t="str">
        <f t="shared" ref="I4:I42" si="0">IF(ISBLANK(G4),"",ROUNDUP(60*H4/(G4*1440),0))</f>
        <v/>
      </c>
      <c r="J4" s="57" t="str">
        <f>IF(ISBLANK(G4),"",Calcul!O4-I4)</f>
        <v/>
      </c>
      <c r="K4" s="58" t="str">
        <f t="shared" ref="K4:K42" si="1">IF(ISBLANK(G4),"",J4/I4)</f>
        <v/>
      </c>
    </row>
    <row r="5" spans="1:14" x14ac:dyDescent="0.25">
      <c r="B5" s="54"/>
      <c r="C5" s="55"/>
      <c r="E5" s="55"/>
      <c r="G5" s="55"/>
      <c r="I5" s="56" t="str">
        <f t="shared" si="0"/>
        <v/>
      </c>
      <c r="J5" s="57" t="str">
        <f>IF(ISBLANK(G5),"",Calcul!O5-I5)</f>
        <v/>
      </c>
      <c r="K5" s="58" t="str">
        <f t="shared" si="1"/>
        <v/>
      </c>
      <c r="M5" s="59"/>
    </row>
    <row r="6" spans="1:14" x14ac:dyDescent="0.25">
      <c r="B6" s="54"/>
      <c r="C6" s="55"/>
      <c r="E6" s="55"/>
      <c r="G6" s="55"/>
      <c r="I6" s="56" t="str">
        <f t="shared" si="0"/>
        <v/>
      </c>
      <c r="J6" s="57" t="str">
        <f>IF(ISBLANK(G6),"",Calcul!O6-I6)</f>
        <v/>
      </c>
      <c r="K6" s="58" t="str">
        <f t="shared" si="1"/>
        <v/>
      </c>
    </row>
    <row r="7" spans="1:14" x14ac:dyDescent="0.25">
      <c r="B7" s="54"/>
      <c r="C7" s="55"/>
      <c r="E7" s="55"/>
      <c r="G7" s="55"/>
      <c r="I7" s="56" t="str">
        <f t="shared" si="0"/>
        <v/>
      </c>
      <c r="J7" s="57" t="str">
        <f>IF(ISBLANK(G7),"",Calcul!O7-I7)</f>
        <v/>
      </c>
      <c r="K7" s="58" t="str">
        <f t="shared" si="1"/>
        <v/>
      </c>
    </row>
    <row r="8" spans="1:14" x14ac:dyDescent="0.25">
      <c r="B8" s="54"/>
      <c r="C8" s="55"/>
      <c r="E8" s="55"/>
      <c r="G8" s="55"/>
      <c r="I8" s="56" t="str">
        <f t="shared" si="0"/>
        <v/>
      </c>
      <c r="J8" s="57" t="str">
        <f>IF(ISBLANK(G8),"",Calcul!O8-I8)</f>
        <v/>
      </c>
      <c r="K8" s="58" t="str">
        <f t="shared" si="1"/>
        <v/>
      </c>
    </row>
    <row r="9" spans="1:14" x14ac:dyDescent="0.25">
      <c r="B9" s="54"/>
      <c r="C9" s="55"/>
      <c r="E9" s="55"/>
      <c r="G9" s="55"/>
      <c r="I9" s="56" t="str">
        <f t="shared" si="0"/>
        <v/>
      </c>
      <c r="J9" s="57" t="str">
        <f>IF(ISBLANK(G9),"",Calcul!O9-I9)</f>
        <v/>
      </c>
      <c r="K9" s="58" t="str">
        <f t="shared" si="1"/>
        <v/>
      </c>
    </row>
    <row r="10" spans="1:14" x14ac:dyDescent="0.25">
      <c r="B10" s="54"/>
      <c r="C10" s="55"/>
      <c r="E10" s="55"/>
      <c r="G10" s="55"/>
      <c r="I10" s="56" t="str">
        <f t="shared" si="0"/>
        <v/>
      </c>
      <c r="J10" s="57" t="str">
        <f>IF(ISBLANK(G10),"",Calcul!O10-I10)</f>
        <v/>
      </c>
      <c r="K10" s="58" t="str">
        <f t="shared" si="1"/>
        <v/>
      </c>
    </row>
    <row r="11" spans="1:14" x14ac:dyDescent="0.25">
      <c r="B11" s="54"/>
      <c r="C11" s="55"/>
      <c r="E11" s="55"/>
      <c r="G11" s="55"/>
      <c r="I11" s="56" t="str">
        <f t="shared" si="0"/>
        <v/>
      </c>
      <c r="J11" s="57" t="str">
        <f>IF(ISBLANK(G11),"",Calcul!O11-I11)</f>
        <v/>
      </c>
      <c r="K11" s="58" t="str">
        <f t="shared" si="1"/>
        <v/>
      </c>
    </row>
    <row r="12" spans="1:14" x14ac:dyDescent="0.25">
      <c r="B12" s="54"/>
      <c r="C12" s="55"/>
      <c r="E12" s="55"/>
      <c r="G12" s="55"/>
      <c r="I12" s="56" t="str">
        <f t="shared" si="0"/>
        <v/>
      </c>
      <c r="J12" s="57" t="str">
        <f>IF(ISBLANK(G12),"",Calcul!O12-I12)</f>
        <v/>
      </c>
      <c r="K12" s="58" t="str">
        <f t="shared" si="1"/>
        <v/>
      </c>
    </row>
    <row r="13" spans="1:14" x14ac:dyDescent="0.25">
      <c r="B13" s="54"/>
      <c r="C13" s="55"/>
      <c r="E13" s="55"/>
      <c r="G13" s="55"/>
      <c r="I13" s="56" t="str">
        <f t="shared" si="0"/>
        <v/>
      </c>
      <c r="J13" s="57" t="str">
        <f>IF(ISBLANK(G13),"",Calcul!O13-I13)</f>
        <v/>
      </c>
      <c r="K13" s="58" t="str">
        <f t="shared" si="1"/>
        <v/>
      </c>
    </row>
    <row r="14" spans="1:14" x14ac:dyDescent="0.25">
      <c r="B14" s="54"/>
      <c r="C14" s="55"/>
      <c r="E14" s="55"/>
      <c r="G14" s="55"/>
      <c r="I14" s="56" t="str">
        <f t="shared" si="0"/>
        <v/>
      </c>
      <c r="J14" s="57" t="str">
        <f>IF(ISBLANK(G14),"",Calcul!O14-I14)</f>
        <v/>
      </c>
      <c r="K14" s="58" t="str">
        <f t="shared" si="1"/>
        <v/>
      </c>
    </row>
    <row r="15" spans="1:14" x14ac:dyDescent="0.25">
      <c r="B15" s="54"/>
      <c r="C15" s="55"/>
      <c r="E15" s="55"/>
      <c r="G15" s="55"/>
      <c r="I15" s="56" t="str">
        <f t="shared" si="0"/>
        <v/>
      </c>
      <c r="J15" s="57" t="str">
        <f>IF(ISBLANK(G15),"",Calcul!O15-I15)</f>
        <v/>
      </c>
      <c r="K15" s="58" t="str">
        <f t="shared" si="1"/>
        <v/>
      </c>
    </row>
    <row r="16" spans="1:14" x14ac:dyDescent="0.25">
      <c r="B16" s="54"/>
      <c r="C16" s="55"/>
      <c r="E16" s="55"/>
      <c r="G16" s="55"/>
      <c r="I16" s="56" t="str">
        <f t="shared" si="0"/>
        <v/>
      </c>
      <c r="J16" s="57" t="str">
        <f>IF(ISBLANK(G16),"",Calcul!O16-I16)</f>
        <v/>
      </c>
      <c r="K16" s="58" t="str">
        <f t="shared" si="1"/>
        <v/>
      </c>
    </row>
    <row r="17" spans="2:11" x14ac:dyDescent="0.25">
      <c r="B17" s="54"/>
      <c r="C17" s="55"/>
      <c r="E17" s="55"/>
      <c r="G17" s="55"/>
      <c r="I17" s="56" t="str">
        <f t="shared" si="0"/>
        <v/>
      </c>
      <c r="J17" s="57" t="str">
        <f>IF(ISBLANK(G17),"",Calcul!O17-I17)</f>
        <v/>
      </c>
      <c r="K17" s="58" t="str">
        <f t="shared" si="1"/>
        <v/>
      </c>
    </row>
    <row r="18" spans="2:11" x14ac:dyDescent="0.25">
      <c r="B18" s="54"/>
      <c r="C18" s="55"/>
      <c r="E18" s="55"/>
      <c r="G18" s="55"/>
      <c r="I18" s="56" t="str">
        <f t="shared" si="0"/>
        <v/>
      </c>
      <c r="J18" s="57" t="str">
        <f>IF(ISBLANK(G18),"",Calcul!O18-I18)</f>
        <v/>
      </c>
      <c r="K18" s="58" t="str">
        <f t="shared" si="1"/>
        <v/>
      </c>
    </row>
    <row r="19" spans="2:11" x14ac:dyDescent="0.25">
      <c r="B19" s="54"/>
      <c r="C19" s="55"/>
      <c r="E19" s="55"/>
      <c r="G19" s="55"/>
      <c r="I19" s="56" t="str">
        <f t="shared" si="0"/>
        <v/>
      </c>
      <c r="J19" s="57" t="str">
        <f>IF(ISBLANK(G19),"",Calcul!O19-I19)</f>
        <v/>
      </c>
      <c r="K19" s="58" t="str">
        <f t="shared" si="1"/>
        <v/>
      </c>
    </row>
    <row r="20" spans="2:11" x14ac:dyDescent="0.25">
      <c r="B20" s="54"/>
      <c r="C20" s="55"/>
      <c r="E20" s="55"/>
      <c r="G20" s="55"/>
      <c r="I20" s="56" t="str">
        <f t="shared" si="0"/>
        <v/>
      </c>
      <c r="J20" s="57" t="str">
        <f>IF(ISBLANK(G20),"",Calcul!O20-I20)</f>
        <v/>
      </c>
      <c r="K20" s="58" t="str">
        <f t="shared" si="1"/>
        <v/>
      </c>
    </row>
    <row r="21" spans="2:11" x14ac:dyDescent="0.25">
      <c r="B21" s="54"/>
      <c r="C21" s="55"/>
      <c r="E21" s="55"/>
      <c r="G21" s="55"/>
      <c r="I21" s="56" t="str">
        <f t="shared" si="0"/>
        <v/>
      </c>
      <c r="J21" s="57" t="str">
        <f>IF(ISBLANK(G21),"",Calcul!O21-I21)</f>
        <v/>
      </c>
      <c r="K21" s="58" t="str">
        <f t="shared" si="1"/>
        <v/>
      </c>
    </row>
    <row r="22" spans="2:11" x14ac:dyDescent="0.25">
      <c r="B22" s="54"/>
      <c r="C22" s="55"/>
      <c r="E22" s="55"/>
      <c r="G22" s="55"/>
      <c r="I22" s="56" t="str">
        <f t="shared" si="0"/>
        <v/>
      </c>
      <c r="J22" s="57" t="str">
        <f>IF(ISBLANK(G22),"",Calcul!O22-I22)</f>
        <v/>
      </c>
      <c r="K22" s="58" t="str">
        <f t="shared" si="1"/>
        <v/>
      </c>
    </row>
    <row r="23" spans="2:11" x14ac:dyDescent="0.25">
      <c r="B23" s="54"/>
      <c r="C23" s="55"/>
      <c r="E23" s="55"/>
      <c r="G23" s="55"/>
      <c r="I23" s="56" t="str">
        <f t="shared" si="0"/>
        <v/>
      </c>
      <c r="J23" s="57" t="str">
        <f>IF(ISBLANK(G23),"",Calcul!O23-I23)</f>
        <v/>
      </c>
      <c r="K23" s="58" t="str">
        <f t="shared" si="1"/>
        <v/>
      </c>
    </row>
    <row r="24" spans="2:11" x14ac:dyDescent="0.25">
      <c r="B24" s="54"/>
      <c r="C24" s="55"/>
      <c r="E24" s="55"/>
      <c r="G24" s="55"/>
      <c r="I24" s="56" t="str">
        <f t="shared" si="0"/>
        <v/>
      </c>
      <c r="J24" s="57" t="str">
        <f>IF(ISBLANK(G24),"",Calcul!O24-I24)</f>
        <v/>
      </c>
      <c r="K24" s="58" t="str">
        <f t="shared" si="1"/>
        <v/>
      </c>
    </row>
    <row r="25" spans="2:11" x14ac:dyDescent="0.25">
      <c r="B25" s="54"/>
      <c r="C25" s="55"/>
      <c r="E25" s="55"/>
      <c r="G25" s="55"/>
      <c r="I25" s="56" t="str">
        <f t="shared" si="0"/>
        <v/>
      </c>
      <c r="J25" s="57" t="str">
        <f>IF(ISBLANK(G25),"",Calcul!O25-I25)</f>
        <v/>
      </c>
      <c r="K25" s="58" t="str">
        <f t="shared" si="1"/>
        <v/>
      </c>
    </row>
    <row r="26" spans="2:11" x14ac:dyDescent="0.25">
      <c r="B26" s="54"/>
      <c r="C26" s="55"/>
      <c r="E26" s="55"/>
      <c r="G26" s="55"/>
      <c r="I26" s="56" t="str">
        <f t="shared" si="0"/>
        <v/>
      </c>
      <c r="J26" s="57" t="str">
        <f>IF(ISBLANK(G26),"",Calcul!O26-I26)</f>
        <v/>
      </c>
      <c r="K26" s="58" t="str">
        <f t="shared" si="1"/>
        <v/>
      </c>
    </row>
    <row r="27" spans="2:11" x14ac:dyDescent="0.25">
      <c r="B27" s="54"/>
      <c r="C27" s="55"/>
      <c r="E27" s="55"/>
      <c r="G27" s="55"/>
      <c r="I27" s="56" t="str">
        <f t="shared" si="0"/>
        <v/>
      </c>
      <c r="J27" s="57" t="str">
        <f>IF(ISBLANK(G27),"",Calcul!O27-I27)</f>
        <v/>
      </c>
      <c r="K27" s="58" t="str">
        <f t="shared" si="1"/>
        <v/>
      </c>
    </row>
    <row r="28" spans="2:11" x14ac:dyDescent="0.25">
      <c r="B28" s="54"/>
      <c r="C28" s="55"/>
      <c r="E28" s="55"/>
      <c r="G28" s="55"/>
      <c r="I28" s="56" t="str">
        <f t="shared" si="0"/>
        <v/>
      </c>
      <c r="J28" s="57" t="str">
        <f>IF(ISBLANK(G28),"",Calcul!O28-I28)</f>
        <v/>
      </c>
      <c r="K28" s="58" t="str">
        <f t="shared" si="1"/>
        <v/>
      </c>
    </row>
    <row r="29" spans="2:11" x14ac:dyDescent="0.25">
      <c r="B29" s="54"/>
      <c r="C29" s="55"/>
      <c r="E29" s="55"/>
      <c r="G29" s="55"/>
      <c r="I29" s="56" t="str">
        <f t="shared" si="0"/>
        <v/>
      </c>
      <c r="J29" s="57" t="str">
        <f>IF(ISBLANK(G29),"",Calcul!O29-I29)</f>
        <v/>
      </c>
      <c r="K29" s="58" t="str">
        <f t="shared" si="1"/>
        <v/>
      </c>
    </row>
    <row r="30" spans="2:11" x14ac:dyDescent="0.25">
      <c r="B30" s="54"/>
      <c r="C30" s="55"/>
      <c r="E30" s="55"/>
      <c r="G30" s="55"/>
      <c r="I30" s="56" t="str">
        <f t="shared" si="0"/>
        <v/>
      </c>
      <c r="J30" s="57" t="str">
        <f>IF(ISBLANK(G30),"",Calcul!O30-I30)</f>
        <v/>
      </c>
      <c r="K30" s="58" t="str">
        <f t="shared" si="1"/>
        <v/>
      </c>
    </row>
    <row r="31" spans="2:11" x14ac:dyDescent="0.25">
      <c r="B31" s="54"/>
      <c r="C31" s="55"/>
      <c r="E31" s="55"/>
      <c r="G31" s="55"/>
      <c r="I31" s="56" t="str">
        <f t="shared" si="0"/>
        <v/>
      </c>
      <c r="J31" s="57" t="str">
        <f>IF(ISBLANK(G31),"",Calcul!O31-I31)</f>
        <v/>
      </c>
      <c r="K31" s="58" t="str">
        <f t="shared" si="1"/>
        <v/>
      </c>
    </row>
    <row r="32" spans="2:11" x14ac:dyDescent="0.25">
      <c r="B32" s="54"/>
      <c r="C32" s="55"/>
      <c r="E32" s="55"/>
      <c r="G32" s="55"/>
      <c r="I32" s="56" t="str">
        <f t="shared" si="0"/>
        <v/>
      </c>
      <c r="J32" s="57" t="str">
        <f>IF(ISBLANK(G32),"",Calcul!O32-I32)</f>
        <v/>
      </c>
      <c r="K32" s="58" t="str">
        <f t="shared" si="1"/>
        <v/>
      </c>
    </row>
    <row r="33" spans="2:11" x14ac:dyDescent="0.25">
      <c r="B33" s="54"/>
      <c r="C33" s="55"/>
      <c r="E33" s="55"/>
      <c r="G33" s="55"/>
      <c r="I33" s="56" t="str">
        <f t="shared" si="0"/>
        <v/>
      </c>
      <c r="J33" s="57" t="str">
        <f>IF(ISBLANK(G33),"",Calcul!O33-I33)</f>
        <v/>
      </c>
      <c r="K33" s="58" t="str">
        <f t="shared" si="1"/>
        <v/>
      </c>
    </row>
    <row r="34" spans="2:11" x14ac:dyDescent="0.25">
      <c r="B34" s="54"/>
      <c r="C34" s="55"/>
      <c r="E34" s="55"/>
      <c r="G34" s="55"/>
      <c r="I34" s="56" t="str">
        <f t="shared" si="0"/>
        <v/>
      </c>
      <c r="J34" s="57" t="str">
        <f>IF(ISBLANK(G34),"",Calcul!O34-I34)</f>
        <v/>
      </c>
      <c r="K34" s="58" t="str">
        <f t="shared" si="1"/>
        <v/>
      </c>
    </row>
    <row r="35" spans="2:11" x14ac:dyDescent="0.25">
      <c r="B35" s="54"/>
      <c r="C35" s="55"/>
      <c r="E35" s="55"/>
      <c r="G35" s="55"/>
      <c r="I35" s="56" t="str">
        <f t="shared" si="0"/>
        <v/>
      </c>
      <c r="J35" s="57" t="str">
        <f>IF(ISBLANK(G35),"",Calcul!O35-I35)</f>
        <v/>
      </c>
      <c r="K35" s="58" t="str">
        <f t="shared" si="1"/>
        <v/>
      </c>
    </row>
    <row r="36" spans="2:11" x14ac:dyDescent="0.25">
      <c r="B36" s="54"/>
      <c r="C36" s="55"/>
      <c r="E36" s="55"/>
      <c r="G36" s="55"/>
      <c r="I36" s="56" t="str">
        <f t="shared" si="0"/>
        <v/>
      </c>
      <c r="J36" s="57" t="str">
        <f>IF(ISBLANK(G36),"",Calcul!O36-I36)</f>
        <v/>
      </c>
      <c r="K36" s="58" t="str">
        <f t="shared" si="1"/>
        <v/>
      </c>
    </row>
    <row r="37" spans="2:11" x14ac:dyDescent="0.25">
      <c r="B37" s="54"/>
      <c r="C37" s="55"/>
      <c r="E37" s="55"/>
      <c r="G37" s="55"/>
      <c r="I37" s="56" t="str">
        <f t="shared" si="0"/>
        <v/>
      </c>
      <c r="J37" s="57" t="str">
        <f>IF(ISBLANK(G37),"",Calcul!O37-I37)</f>
        <v/>
      </c>
      <c r="K37" s="58" t="str">
        <f t="shared" si="1"/>
        <v/>
      </c>
    </row>
    <row r="38" spans="2:11" x14ac:dyDescent="0.25">
      <c r="B38" s="54"/>
      <c r="C38" s="55"/>
      <c r="E38" s="55"/>
      <c r="G38" s="55"/>
      <c r="I38" s="56" t="str">
        <f t="shared" si="0"/>
        <v/>
      </c>
      <c r="J38" s="57" t="str">
        <f>IF(ISBLANK(G38),"",Calcul!O38-I38)</f>
        <v/>
      </c>
      <c r="K38" s="58" t="str">
        <f t="shared" si="1"/>
        <v/>
      </c>
    </row>
    <row r="39" spans="2:11" x14ac:dyDescent="0.25">
      <c r="B39" s="54"/>
      <c r="C39" s="55"/>
      <c r="E39" s="55"/>
      <c r="G39" s="55"/>
      <c r="I39" s="56" t="str">
        <f t="shared" si="0"/>
        <v/>
      </c>
      <c r="J39" s="57" t="str">
        <f>IF(ISBLANK(G39),"",Calcul!O39-I39)</f>
        <v/>
      </c>
      <c r="K39" s="58" t="str">
        <f t="shared" si="1"/>
        <v/>
      </c>
    </row>
    <row r="40" spans="2:11" x14ac:dyDescent="0.25">
      <c r="B40" s="54"/>
      <c r="C40" s="55"/>
      <c r="E40" s="55"/>
      <c r="G40" s="55"/>
      <c r="I40" s="56" t="str">
        <f t="shared" si="0"/>
        <v/>
      </c>
      <c r="J40" s="57" t="str">
        <f>IF(ISBLANK(G40),"",Calcul!O40-I40)</f>
        <v/>
      </c>
      <c r="K40" s="58" t="str">
        <f t="shared" si="1"/>
        <v/>
      </c>
    </row>
    <row r="41" spans="2:11" x14ac:dyDescent="0.25">
      <c r="B41" s="54"/>
      <c r="C41" s="55"/>
      <c r="E41" s="55"/>
      <c r="G41" s="55"/>
      <c r="I41" s="56" t="str">
        <f t="shared" si="0"/>
        <v/>
      </c>
      <c r="J41" s="57" t="str">
        <f>IF(ISBLANK(G41),"",Calcul!O41-I41)</f>
        <v/>
      </c>
      <c r="K41" s="58" t="str">
        <f t="shared" si="1"/>
        <v/>
      </c>
    </row>
    <row r="42" spans="2:11" x14ac:dyDescent="0.25">
      <c r="B42" s="54"/>
      <c r="C42" s="55"/>
      <c r="E42" s="55"/>
      <c r="G42" s="55"/>
      <c r="I42" s="56" t="str">
        <f t="shared" si="0"/>
        <v/>
      </c>
      <c r="J42" s="57" t="str">
        <f>IF(ISBLANK(G42),"",Calcul!O42-I42)</f>
        <v/>
      </c>
      <c r="K42" s="58" t="str">
        <f t="shared" si="1"/>
        <v/>
      </c>
    </row>
  </sheetData>
  <mergeCells count="9">
    <mergeCell ref="J1:J2"/>
    <mergeCell ref="K1:K2"/>
    <mergeCell ref="C1:D1"/>
    <mergeCell ref="E1:F1"/>
    <mergeCell ref="A1:A2"/>
    <mergeCell ref="B1:B2"/>
    <mergeCell ref="G1:G2"/>
    <mergeCell ref="H1:H2"/>
    <mergeCell ref="I1:I2"/>
  </mergeCells>
  <conditionalFormatting sqref="J3:J42">
    <cfRule type="cellIs" dxfId="3" priority="3" operator="lessThanOrEqual">
      <formula>0</formula>
    </cfRule>
    <cfRule type="cellIs" dxfId="2" priority="4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greaterThanOrEqual" id="{17EAD50A-050D-4FB8-AB7E-07580CDFCD78}">
            <xm:f>Calcul!$O$3</xm:f>
            <x14:dxf>
              <numFmt numFmtId="1" formatCode="0"/>
              <fill>
                <patternFill>
                  <bgColor rgb="FF92D050"/>
                </patternFill>
              </fill>
            </x14:dxf>
          </x14:cfRule>
          <x14:cfRule type="cellIs" priority="5" operator="lessThan" id="{FCD2489D-4CB8-4129-A101-CAABDDB6DB02}">
            <xm:f>Calcul!$O$3</xm:f>
            <x14:dxf>
              <font>
                <color rgb="FF9C0006"/>
              </font>
              <numFmt numFmtId="1" formatCode="0"/>
              <fill>
                <patternFill>
                  <bgColor rgb="FFFFC7CE"/>
                </patternFill>
              </fill>
            </x14:dxf>
          </x14:cfRule>
          <xm:sqref>I3:I42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G14"/>
  <sheetViews>
    <sheetView workbookViewId="0">
      <selection activeCell="E26" sqref="E26"/>
    </sheetView>
  </sheetViews>
  <sheetFormatPr baseColWidth="10" defaultRowHeight="15" x14ac:dyDescent="0.2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 x14ac:dyDescent="0.25">
      <c r="A3" t="s">
        <v>71</v>
      </c>
      <c r="B3" t="s">
        <v>72</v>
      </c>
      <c r="C3" t="s">
        <v>73</v>
      </c>
      <c r="D3" t="s">
        <v>74</v>
      </c>
      <c r="E3" s="3" t="s">
        <v>75</v>
      </c>
      <c r="F3" t="s">
        <v>76</v>
      </c>
      <c r="G3" t="s">
        <v>77</v>
      </c>
    </row>
    <row r="4" spans="1:7" x14ac:dyDescent="0.25">
      <c r="A4" t="s">
        <v>0</v>
      </c>
      <c r="B4" t="s">
        <v>1</v>
      </c>
      <c r="C4" t="s">
        <v>2</v>
      </c>
      <c r="D4" t="s">
        <v>3</v>
      </c>
      <c r="E4" s="3" t="s">
        <v>4</v>
      </c>
      <c r="F4" t="s">
        <v>5</v>
      </c>
      <c r="G4" t="s">
        <v>6</v>
      </c>
    </row>
    <row r="5" spans="1:7" x14ac:dyDescent="0.25">
      <c r="C5" t="s">
        <v>7</v>
      </c>
      <c r="D5" t="s">
        <v>8</v>
      </c>
      <c r="E5" t="s">
        <v>9</v>
      </c>
      <c r="F5" t="s">
        <v>10</v>
      </c>
      <c r="G5" t="s">
        <v>11</v>
      </c>
    </row>
    <row r="6" spans="1:7" ht="15.75" x14ac:dyDescent="0.3">
      <c r="A6">
        <f>B6*10*0.036</f>
        <v>0</v>
      </c>
      <c r="B6">
        <v>0</v>
      </c>
      <c r="C6" t="s">
        <v>12</v>
      </c>
      <c r="D6" t="s">
        <v>50</v>
      </c>
      <c r="E6" t="s">
        <v>51</v>
      </c>
      <c r="F6" s="1" t="s">
        <v>13</v>
      </c>
    </row>
    <row r="7" spans="1:7" ht="15.75" x14ac:dyDescent="0.3">
      <c r="A7">
        <f t="shared" ref="A7:A14" si="0">B7*10*0.036</f>
        <v>0.36</v>
      </c>
      <c r="B7">
        <v>1</v>
      </c>
      <c r="C7" t="s">
        <v>14</v>
      </c>
      <c r="D7" t="s">
        <v>15</v>
      </c>
      <c r="E7" s="1" t="s">
        <v>16</v>
      </c>
      <c r="F7" s="1" t="s">
        <v>17</v>
      </c>
    </row>
    <row r="8" spans="1:7" ht="15.75" x14ac:dyDescent="0.3">
      <c r="A8">
        <f t="shared" si="0"/>
        <v>1.0799999999999998</v>
      </c>
      <c r="B8">
        <v>3</v>
      </c>
      <c r="C8" t="s">
        <v>18</v>
      </c>
      <c r="D8" s="2" t="s">
        <v>19</v>
      </c>
      <c r="E8" s="1" t="s">
        <v>20</v>
      </c>
      <c r="F8" s="1" t="s">
        <v>21</v>
      </c>
    </row>
    <row r="9" spans="1:7" ht="15.75" x14ac:dyDescent="0.3">
      <c r="A9">
        <f t="shared" si="0"/>
        <v>2.1599999999999997</v>
      </c>
      <c r="B9">
        <v>6</v>
      </c>
      <c r="C9" t="s">
        <v>22</v>
      </c>
      <c r="D9" s="1" t="s">
        <v>23</v>
      </c>
      <c r="E9" s="1" t="s">
        <v>24</v>
      </c>
      <c r="F9" s="1" t="s">
        <v>25</v>
      </c>
    </row>
    <row r="10" spans="1:7" ht="15.75" x14ac:dyDescent="0.3">
      <c r="A10">
        <f t="shared" si="0"/>
        <v>3.5999999999999996</v>
      </c>
      <c r="B10">
        <v>10</v>
      </c>
      <c r="C10" t="s">
        <v>26</v>
      </c>
      <c r="D10" s="1" t="s">
        <v>27</v>
      </c>
      <c r="E10" t="s">
        <v>28</v>
      </c>
      <c r="F10" s="1" t="s">
        <v>69</v>
      </c>
      <c r="G10" s="1" t="s">
        <v>29</v>
      </c>
    </row>
    <row r="11" spans="1:7" ht="15.75" x14ac:dyDescent="0.3">
      <c r="A11">
        <f t="shared" si="0"/>
        <v>5.76</v>
      </c>
      <c r="B11">
        <v>16</v>
      </c>
      <c r="C11" t="s">
        <v>30</v>
      </c>
      <c r="D11" s="1" t="s">
        <v>31</v>
      </c>
      <c r="E11" s="1" t="s">
        <v>67</v>
      </c>
      <c r="G11" t="s">
        <v>33</v>
      </c>
    </row>
    <row r="12" spans="1:7" x14ac:dyDescent="0.25">
      <c r="A12">
        <f t="shared" si="0"/>
        <v>7.1999999999999993</v>
      </c>
      <c r="B12">
        <v>20</v>
      </c>
      <c r="C12" t="s">
        <v>36</v>
      </c>
      <c r="G12" t="s">
        <v>35</v>
      </c>
    </row>
    <row r="13" spans="1:7" ht="15.75" x14ac:dyDescent="0.3">
      <c r="A13">
        <f t="shared" si="0"/>
        <v>14.399999999999999</v>
      </c>
      <c r="B13">
        <v>40</v>
      </c>
      <c r="E13" s="1" t="s">
        <v>32</v>
      </c>
    </row>
    <row r="14" spans="1:7" ht="15.75" x14ac:dyDescent="0.3">
      <c r="A14">
        <f t="shared" si="0"/>
        <v>21.599999999999998</v>
      </c>
      <c r="B14">
        <v>60</v>
      </c>
      <c r="E14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M52"/>
  <sheetViews>
    <sheetView topLeftCell="B25" zoomScaleNormal="100" workbookViewId="0">
      <selection activeCell="E26" sqref="E26"/>
    </sheetView>
  </sheetViews>
  <sheetFormatPr baseColWidth="10" defaultRowHeight="15" x14ac:dyDescent="0.25"/>
  <cols>
    <col min="2" max="2" width="14.5703125" bestFit="1" customWidth="1"/>
    <col min="3" max="3" width="24" bestFit="1" customWidth="1"/>
    <col min="4" max="4" width="2.140625" bestFit="1" customWidth="1"/>
    <col min="5" max="5" width="32.28515625" bestFit="1" customWidth="1"/>
    <col min="6" max="6" width="3.42578125" customWidth="1"/>
    <col min="7" max="7" width="19.28515625" bestFit="1" customWidth="1"/>
    <col min="8" max="8" width="19.28515625" customWidth="1"/>
    <col min="9" max="9" width="22.5703125" bestFit="1" customWidth="1"/>
    <col min="10" max="10" width="4" customWidth="1"/>
    <col min="11" max="11" width="32.28515625" bestFit="1" customWidth="1"/>
    <col min="12" max="12" width="17.42578125" bestFit="1" customWidth="1"/>
    <col min="13" max="13" width="23.28515625" bestFit="1" customWidth="1"/>
  </cols>
  <sheetData>
    <row r="1" spans="2:13" x14ac:dyDescent="0.25">
      <c r="G1" s="83" t="s">
        <v>114</v>
      </c>
      <c r="H1" s="83"/>
      <c r="I1" s="83"/>
      <c r="K1" s="83" t="s">
        <v>117</v>
      </c>
      <c r="L1" s="83"/>
      <c r="M1" s="83"/>
    </row>
    <row r="2" spans="2:13" x14ac:dyDescent="0.25">
      <c r="B2" t="s">
        <v>78</v>
      </c>
      <c r="C2" t="s">
        <v>79</v>
      </c>
      <c r="D2" t="s">
        <v>113</v>
      </c>
      <c r="E2" t="s">
        <v>80</v>
      </c>
      <c r="H2" t="s">
        <v>115</v>
      </c>
      <c r="I2" t="s">
        <v>116</v>
      </c>
      <c r="L2" t="s">
        <v>115</v>
      </c>
      <c r="M2" t="s">
        <v>116</v>
      </c>
    </row>
    <row r="3" spans="2:13" x14ac:dyDescent="0.25">
      <c r="G3" t="s">
        <v>103</v>
      </c>
      <c r="K3" t="s">
        <v>81</v>
      </c>
    </row>
    <row r="4" spans="2:13" x14ac:dyDescent="0.25">
      <c r="G4" t="s">
        <v>106</v>
      </c>
      <c r="K4" t="s">
        <v>111</v>
      </c>
    </row>
    <row r="5" spans="2:13" x14ac:dyDescent="0.25">
      <c r="K5" t="s">
        <v>82</v>
      </c>
    </row>
    <row r="6" spans="2:13" x14ac:dyDescent="0.25">
      <c r="K6" t="s">
        <v>110</v>
      </c>
    </row>
    <row r="7" spans="2:13" x14ac:dyDescent="0.25">
      <c r="K7" t="s">
        <v>106</v>
      </c>
    </row>
    <row r="8" spans="2:13" x14ac:dyDescent="0.25">
      <c r="K8" t="s">
        <v>83</v>
      </c>
    </row>
    <row r="9" spans="2:13" x14ac:dyDescent="0.25">
      <c r="E9" t="s">
        <v>101</v>
      </c>
    </row>
    <row r="10" spans="2:13" x14ac:dyDescent="0.25">
      <c r="E10" t="s">
        <v>84</v>
      </c>
    </row>
    <row r="11" spans="2:13" x14ac:dyDescent="0.25">
      <c r="K11" t="s">
        <v>99</v>
      </c>
    </row>
    <row r="12" spans="2:13" x14ac:dyDescent="0.25">
      <c r="G12" t="s">
        <v>85</v>
      </c>
      <c r="K12" t="s">
        <v>85</v>
      </c>
    </row>
    <row r="13" spans="2:13" x14ac:dyDescent="0.25">
      <c r="K13" t="s">
        <v>100</v>
      </c>
    </row>
    <row r="14" spans="2:13" x14ac:dyDescent="0.25">
      <c r="K14" t="s">
        <v>86</v>
      </c>
    </row>
    <row r="15" spans="2:13" x14ac:dyDescent="0.25">
      <c r="K15" t="s">
        <v>87</v>
      </c>
    </row>
    <row r="16" spans="2:13" x14ac:dyDescent="0.25">
      <c r="E16" t="s">
        <v>88</v>
      </c>
    </row>
    <row r="17" spans="5:13" x14ac:dyDescent="0.25">
      <c r="E17" t="s">
        <v>89</v>
      </c>
    </row>
    <row r="18" spans="5:13" x14ac:dyDescent="0.25">
      <c r="E18" t="s">
        <v>90</v>
      </c>
    </row>
    <row r="19" spans="5:13" x14ac:dyDescent="0.25">
      <c r="E19" t="s">
        <v>91</v>
      </c>
    </row>
    <row r="20" spans="5:13" x14ac:dyDescent="0.25">
      <c r="E20" t="s">
        <v>92</v>
      </c>
    </row>
    <row r="21" spans="5:13" x14ac:dyDescent="0.25">
      <c r="E21" t="s">
        <v>93</v>
      </c>
    </row>
    <row r="22" spans="5:13" x14ac:dyDescent="0.25">
      <c r="E22" t="s">
        <v>94</v>
      </c>
    </row>
    <row r="23" spans="5:13" x14ac:dyDescent="0.25">
      <c r="E23" t="s">
        <v>95</v>
      </c>
    </row>
    <row r="24" spans="5:13" x14ac:dyDescent="0.25">
      <c r="K24" t="s">
        <v>96</v>
      </c>
    </row>
    <row r="25" spans="5:13" x14ac:dyDescent="0.25">
      <c r="M25" t="s">
        <v>101</v>
      </c>
    </row>
    <row r="26" spans="5:13" x14ac:dyDescent="0.25">
      <c r="M26" t="s">
        <v>118</v>
      </c>
    </row>
    <row r="27" spans="5:13" x14ac:dyDescent="0.25">
      <c r="M27" t="s">
        <v>119</v>
      </c>
    </row>
    <row r="28" spans="5:13" x14ac:dyDescent="0.25">
      <c r="M28" t="s">
        <v>101</v>
      </c>
    </row>
    <row r="29" spans="5:13" x14ac:dyDescent="0.25">
      <c r="M29" t="s">
        <v>122</v>
      </c>
    </row>
    <row r="30" spans="5:13" x14ac:dyDescent="0.25">
      <c r="M30" t="s">
        <v>112</v>
      </c>
    </row>
    <row r="31" spans="5:13" x14ac:dyDescent="0.25">
      <c r="M31" t="s">
        <v>101</v>
      </c>
    </row>
    <row r="32" spans="5:13" x14ac:dyDescent="0.25">
      <c r="M32" t="s">
        <v>118</v>
      </c>
    </row>
    <row r="33" spans="5:13" s="5" customFormat="1" x14ac:dyDescent="0.25">
      <c r="M33" s="4" t="s">
        <v>120</v>
      </c>
    </row>
    <row r="34" spans="5:13" s="5" customFormat="1" x14ac:dyDescent="0.25">
      <c r="M34" s="4" t="s">
        <v>101</v>
      </c>
    </row>
    <row r="35" spans="5:13" s="5" customFormat="1" x14ac:dyDescent="0.25">
      <c r="M35" s="4" t="s">
        <v>121</v>
      </c>
    </row>
    <row r="36" spans="5:13" x14ac:dyDescent="0.25">
      <c r="K36" t="s">
        <v>97</v>
      </c>
    </row>
    <row r="37" spans="5:13" x14ac:dyDescent="0.25">
      <c r="K37" t="s">
        <v>108</v>
      </c>
    </row>
    <row r="38" spans="5:13" x14ac:dyDescent="0.25">
      <c r="K38" t="s">
        <v>110</v>
      </c>
    </row>
    <row r="39" spans="5:13" x14ac:dyDescent="0.25">
      <c r="K39" t="s">
        <v>83</v>
      </c>
    </row>
    <row r="40" spans="5:13" x14ac:dyDescent="0.25">
      <c r="H40" t="s">
        <v>98</v>
      </c>
      <c r="L40" t="s">
        <v>98</v>
      </c>
    </row>
    <row r="41" spans="5:13" x14ac:dyDescent="0.25">
      <c r="L41" t="s">
        <v>99</v>
      </c>
    </row>
    <row r="42" spans="5:13" x14ac:dyDescent="0.25">
      <c r="L42" t="s">
        <v>100</v>
      </c>
    </row>
    <row r="43" spans="5:13" x14ac:dyDescent="0.25">
      <c r="G43" t="s">
        <v>101</v>
      </c>
      <c r="I43" t="s">
        <v>101</v>
      </c>
    </row>
    <row r="44" spans="5:13" x14ac:dyDescent="0.25">
      <c r="I44" t="s">
        <v>102</v>
      </c>
    </row>
    <row r="45" spans="5:13" x14ac:dyDescent="0.25">
      <c r="I45" t="s">
        <v>57</v>
      </c>
    </row>
    <row r="46" spans="5:13" x14ac:dyDescent="0.25">
      <c r="I46" t="s">
        <v>112</v>
      </c>
    </row>
    <row r="47" spans="5:13" x14ac:dyDescent="0.25">
      <c r="I47" t="s">
        <v>103</v>
      </c>
    </row>
    <row r="48" spans="5:13" x14ac:dyDescent="0.25">
      <c r="E48" t="s">
        <v>109</v>
      </c>
    </row>
    <row r="49" spans="5:5" x14ac:dyDescent="0.25">
      <c r="E49" t="s">
        <v>104</v>
      </c>
    </row>
    <row r="50" spans="5:5" x14ac:dyDescent="0.25">
      <c r="E50" t="s">
        <v>105</v>
      </c>
    </row>
    <row r="51" spans="5:5" x14ac:dyDescent="0.25">
      <c r="E51" t="s">
        <v>106</v>
      </c>
    </row>
    <row r="52" spans="5:5" x14ac:dyDescent="0.25">
      <c r="E52" t="s">
        <v>107</v>
      </c>
    </row>
  </sheetData>
  <mergeCells count="2">
    <mergeCell ref="G1:I1"/>
    <mergeCell ref="K1:M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L13"/>
  <sheetViews>
    <sheetView workbookViewId="0">
      <selection activeCell="K8" sqref="K8"/>
    </sheetView>
  </sheetViews>
  <sheetFormatPr baseColWidth="10" defaultRowHeight="15" x14ac:dyDescent="0.25"/>
  <sheetData>
    <row r="1" spans="1:12" ht="19.5" thickBot="1" x14ac:dyDescent="0.35">
      <c r="A1" s="84" t="s">
        <v>133</v>
      </c>
      <c r="B1" s="84"/>
      <c r="C1" s="84"/>
      <c r="D1" s="84"/>
      <c r="E1" s="84"/>
      <c r="F1" s="84"/>
      <c r="G1" s="84"/>
      <c r="J1" s="14" t="s">
        <v>128</v>
      </c>
      <c r="K1" s="14" t="s">
        <v>129</v>
      </c>
    </row>
    <row r="2" spans="1:12" ht="15.75" thickBot="1" x14ac:dyDescent="0.3">
      <c r="A2" s="6" t="s">
        <v>126</v>
      </c>
      <c r="B2" s="85">
        <v>499</v>
      </c>
      <c r="C2" s="87">
        <v>999</v>
      </c>
      <c r="D2" s="87">
        <v>1499</v>
      </c>
      <c r="E2" s="87">
        <v>1999</v>
      </c>
      <c r="F2" s="87">
        <v>3999</v>
      </c>
      <c r="G2" s="89">
        <v>8000</v>
      </c>
      <c r="J2">
        <f>Calcul!G2</f>
        <v>1</v>
      </c>
      <c r="K2">
        <f>Calcul!G1</f>
        <v>1</v>
      </c>
    </row>
    <row r="3" spans="1:12" ht="15.75" thickBot="1" x14ac:dyDescent="0.3">
      <c r="A3" s="7" t="s">
        <v>127</v>
      </c>
      <c r="B3" s="86"/>
      <c r="C3" s="88"/>
      <c r="D3" s="88"/>
      <c r="E3" s="88"/>
      <c r="F3" s="88"/>
      <c r="G3" s="90"/>
      <c r="J3" t="e">
        <f>HLOOKUP(J2,B2:G2,1)</f>
        <v>#N/A</v>
      </c>
      <c r="K3">
        <f>VLOOKUP(K2,A4:A13,1)</f>
        <v>1</v>
      </c>
      <c r="L3" t="s">
        <v>135</v>
      </c>
    </row>
    <row r="4" spans="1:12" x14ac:dyDescent="0.25">
      <c r="A4" s="15">
        <v>1</v>
      </c>
      <c r="B4" s="8">
        <v>0.03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J4" t="e">
        <f>MATCH(J3,B2:G2)+1</f>
        <v>#N/A</v>
      </c>
      <c r="K4">
        <f>MATCH(K3,A4:A13,1)+1</f>
        <v>2</v>
      </c>
      <c r="L4" t="s">
        <v>136</v>
      </c>
    </row>
    <row r="5" spans="1:12" x14ac:dyDescent="0.25">
      <c r="A5" s="18">
        <v>5</v>
      </c>
      <c r="B5" s="8">
        <v>0.05</v>
      </c>
      <c r="C5" s="9">
        <v>0.06</v>
      </c>
      <c r="D5" s="9">
        <v>0</v>
      </c>
      <c r="E5" s="9">
        <v>0</v>
      </c>
      <c r="F5" s="9">
        <v>0</v>
      </c>
      <c r="G5" s="9">
        <v>0</v>
      </c>
    </row>
    <row r="6" spans="1:12" x14ac:dyDescent="0.25">
      <c r="A6" s="17">
        <v>10</v>
      </c>
      <c r="B6" s="8">
        <v>0.08</v>
      </c>
      <c r="C6" s="9">
        <v>0.15</v>
      </c>
      <c r="D6" s="9">
        <v>0.35</v>
      </c>
      <c r="E6" s="9">
        <v>0</v>
      </c>
      <c r="F6" s="9">
        <v>0</v>
      </c>
      <c r="G6" s="9">
        <v>0</v>
      </c>
      <c r="J6" t="e">
        <f>INDEX(B4:G13,K4,J4)</f>
        <v>#N/A</v>
      </c>
      <c r="K6">
        <f>IF(ISNA(J6),0, ROUNDUP( J6/0.036,0))</f>
        <v>0</v>
      </c>
      <c r="L6" t="s">
        <v>130</v>
      </c>
    </row>
    <row r="7" spans="1:12" x14ac:dyDescent="0.25">
      <c r="A7" s="17">
        <v>15</v>
      </c>
      <c r="B7" s="8">
        <v>0.1</v>
      </c>
      <c r="C7" s="9">
        <v>0.35</v>
      </c>
      <c r="D7" s="9">
        <v>0.42</v>
      </c>
      <c r="E7" s="9">
        <v>0.5</v>
      </c>
      <c r="F7" s="9">
        <v>0</v>
      </c>
      <c r="G7" s="9">
        <v>0</v>
      </c>
      <c r="K7">
        <f>IF(OR(J2&gt;1000,K2&gt;=20),ROUNDUP(K6*1.5,0),1)</f>
        <v>1</v>
      </c>
      <c r="L7" t="s">
        <v>131</v>
      </c>
    </row>
    <row r="8" spans="1:12" x14ac:dyDescent="0.25">
      <c r="A8" s="17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>
        <v>0</v>
      </c>
    </row>
    <row r="9" spans="1:12" x14ac:dyDescent="0.25">
      <c r="A9" s="15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2.2000000000000002</v>
      </c>
      <c r="G9" s="12">
        <v>3</v>
      </c>
    </row>
    <row r="10" spans="1:12" x14ac:dyDescent="0.25">
      <c r="A10" s="15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</row>
    <row r="11" spans="1:12" x14ac:dyDescent="0.25">
      <c r="A11" s="15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</row>
    <row r="12" spans="1:12" x14ac:dyDescent="0.25">
      <c r="A12" s="15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2" ht="15.75" thickBot="1" x14ac:dyDescent="0.3">
      <c r="A13" s="16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P30"/>
  <sheetViews>
    <sheetView tabSelected="1" workbookViewId="0">
      <selection activeCell="G32" sqref="G32"/>
    </sheetView>
  </sheetViews>
  <sheetFormatPr baseColWidth="10" defaultRowHeight="15" x14ac:dyDescent="0.25"/>
  <cols>
    <col min="15" max="15" width="12" bestFit="1" customWidth="1"/>
  </cols>
  <sheetData>
    <row r="1" spans="1:16" ht="19.5" thickBot="1" x14ac:dyDescent="0.35">
      <c r="A1" s="84" t="s">
        <v>132</v>
      </c>
      <c r="B1" s="84"/>
      <c r="C1" s="84"/>
      <c r="D1" s="84"/>
      <c r="E1" s="84"/>
      <c r="F1" s="84"/>
      <c r="G1" s="84"/>
      <c r="J1" s="14" t="s">
        <v>128</v>
      </c>
      <c r="K1" s="14" t="s">
        <v>129</v>
      </c>
    </row>
    <row r="2" spans="1:16" ht="15.75" thickBot="1" x14ac:dyDescent="0.3">
      <c r="A2" s="6" t="s">
        <v>126</v>
      </c>
      <c r="B2" s="85">
        <v>500</v>
      </c>
      <c r="C2" s="87">
        <v>999</v>
      </c>
      <c r="D2" s="87">
        <v>1499</v>
      </c>
      <c r="E2" s="87">
        <v>1999</v>
      </c>
      <c r="F2" s="87">
        <v>3999</v>
      </c>
      <c r="G2" s="89">
        <v>8000</v>
      </c>
      <c r="J2">
        <f>Calcul!G2</f>
        <v>1</v>
      </c>
      <c r="K2">
        <f>Calcul!G1</f>
        <v>1</v>
      </c>
      <c r="O2">
        <v>500</v>
      </c>
      <c r="P2">
        <v>0.03</v>
      </c>
    </row>
    <row r="3" spans="1:16" ht="15.75" thickBot="1" x14ac:dyDescent="0.3">
      <c r="A3" s="7" t="s">
        <v>127</v>
      </c>
      <c r="B3" s="86"/>
      <c r="C3" s="88"/>
      <c r="D3" s="88"/>
      <c r="E3" s="88"/>
      <c r="F3" s="88"/>
      <c r="G3" s="90"/>
      <c r="J3" t="e">
        <f>HLOOKUP(J2,B2:G2,1)</f>
        <v>#N/A</v>
      </c>
      <c r="K3">
        <f>VLOOKUP(K2,A4:A13,1)</f>
        <v>1</v>
      </c>
      <c r="O3">
        <v>2500</v>
      </c>
      <c r="P3">
        <v>0.05</v>
      </c>
    </row>
    <row r="4" spans="1:16" x14ac:dyDescent="0.25">
      <c r="A4" s="18">
        <v>1</v>
      </c>
      <c r="B4" s="8">
        <v>0.03</v>
      </c>
      <c r="C4" s="9"/>
      <c r="D4" s="9"/>
      <c r="E4" s="9"/>
      <c r="F4" s="9"/>
      <c r="G4" s="9"/>
      <c r="J4" t="e">
        <f>MATCH(J3,B2:G2)+1</f>
        <v>#N/A</v>
      </c>
      <c r="K4">
        <f>MATCH(K3,A4:A13,1)+1</f>
        <v>2</v>
      </c>
      <c r="O4">
        <v>4995</v>
      </c>
      <c r="P4">
        <v>0.06</v>
      </c>
    </row>
    <row r="5" spans="1:16" x14ac:dyDescent="0.25">
      <c r="A5" s="18">
        <v>5</v>
      </c>
      <c r="B5" s="8">
        <v>0.05</v>
      </c>
      <c r="C5" s="9">
        <v>0.06</v>
      </c>
      <c r="D5" s="9"/>
      <c r="E5" s="9"/>
      <c r="F5" s="9"/>
      <c r="G5" s="9"/>
      <c r="O5">
        <v>5000</v>
      </c>
      <c r="P5">
        <v>0.08</v>
      </c>
    </row>
    <row r="6" spans="1:16" x14ac:dyDescent="0.25">
      <c r="A6" s="18">
        <v>10</v>
      </c>
      <c r="B6" s="8">
        <v>0.08</v>
      </c>
      <c r="C6" s="9">
        <v>0.15</v>
      </c>
      <c r="D6" s="9">
        <v>0.35</v>
      </c>
      <c r="E6" s="9"/>
      <c r="F6" s="9"/>
      <c r="G6" s="9"/>
      <c r="J6" t="e">
        <f>INDEX(B4:G13,K4,J4)</f>
        <v>#N/A</v>
      </c>
      <c r="K6">
        <f>IF(ISNA(J6),0, ROUNDUP( J6/0.036,0))</f>
        <v>0</v>
      </c>
      <c r="L6" t="s">
        <v>130</v>
      </c>
      <c r="O6">
        <v>7500</v>
      </c>
      <c r="P6">
        <v>0.1</v>
      </c>
    </row>
    <row r="7" spans="1:16" x14ac:dyDescent="0.25">
      <c r="A7" s="18">
        <v>15</v>
      </c>
      <c r="B7" s="8">
        <v>0.1</v>
      </c>
      <c r="C7" s="9">
        <v>0.35</v>
      </c>
      <c r="D7" s="9">
        <v>0.42</v>
      </c>
      <c r="E7" s="9">
        <v>0.5</v>
      </c>
      <c r="F7" s="9"/>
      <c r="G7" s="9"/>
      <c r="O7">
        <v>9990</v>
      </c>
      <c r="P7">
        <v>0.15</v>
      </c>
    </row>
    <row r="8" spans="1:16" x14ac:dyDescent="0.25">
      <c r="A8" s="18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/>
      <c r="O8">
        <v>14985</v>
      </c>
      <c r="P8">
        <v>0.35</v>
      </c>
    </row>
    <row r="9" spans="1:16" x14ac:dyDescent="0.25">
      <c r="A9" s="18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</v>
      </c>
      <c r="G9" s="12">
        <v>3</v>
      </c>
      <c r="O9">
        <v>19980</v>
      </c>
      <c r="P9">
        <v>0.5</v>
      </c>
    </row>
    <row r="10" spans="1:16" x14ac:dyDescent="0.25">
      <c r="A10" s="18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  <c r="O10">
        <v>39980</v>
      </c>
      <c r="P10">
        <v>0.92</v>
      </c>
    </row>
    <row r="11" spans="1:16" x14ac:dyDescent="0.25">
      <c r="A11" s="18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  <c r="O11">
        <v>119920</v>
      </c>
      <c r="P11">
        <v>1</v>
      </c>
    </row>
    <row r="12" spans="1:16" x14ac:dyDescent="0.25">
      <c r="A12" s="18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  <c r="O12">
        <v>374750</v>
      </c>
      <c r="P12">
        <v>1.5</v>
      </c>
    </row>
    <row r="13" spans="1:16" ht="15.75" thickBot="1" x14ac:dyDescent="0.3">
      <c r="A13" s="19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  <c r="O13">
        <v>500000</v>
      </c>
      <c r="P13">
        <v>2</v>
      </c>
    </row>
    <row r="14" spans="1:16" x14ac:dyDescent="0.25">
      <c r="O14">
        <v>640000</v>
      </c>
      <c r="P14">
        <v>3</v>
      </c>
    </row>
    <row r="15" spans="1:16" x14ac:dyDescent="0.25">
      <c r="O15">
        <v>749500</v>
      </c>
      <c r="P15">
        <v>2</v>
      </c>
    </row>
    <row r="16" spans="1:16" x14ac:dyDescent="0.25">
      <c r="O16">
        <v>999500</v>
      </c>
      <c r="P16">
        <v>2.5</v>
      </c>
    </row>
    <row r="17" spans="12:16" x14ac:dyDescent="0.25">
      <c r="O17">
        <v>1999000</v>
      </c>
      <c r="P17">
        <v>3</v>
      </c>
    </row>
    <row r="18" spans="12:16" x14ac:dyDescent="0.25">
      <c r="O18">
        <v>2997000</v>
      </c>
      <c r="P18">
        <v>4</v>
      </c>
    </row>
    <row r="19" spans="12:16" x14ac:dyDescent="0.25">
      <c r="O19">
        <v>11997000</v>
      </c>
      <c r="P19">
        <v>5</v>
      </c>
    </row>
    <row r="22" spans="12:16" x14ac:dyDescent="0.25">
      <c r="P22">
        <f>FORECAST(N30,P2:P19,O2:O19)</f>
        <v>0.99110786696210518</v>
      </c>
    </row>
    <row r="30" spans="12:16" x14ac:dyDescent="0.25">
      <c r="L30" s="91"/>
    </row>
  </sheetData>
  <sortState ref="O2:P61">
    <sortCondition ref="O2:O61"/>
  </sortState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Calcul</vt:lpstr>
      <vt:lpstr>Releves</vt:lpstr>
      <vt:lpstr>Cadences</vt:lpstr>
      <vt:lpstr>abaques</vt:lpstr>
      <vt:lpstr>Cinématique</vt:lpstr>
      <vt:lpstr>Manutention</vt:lpstr>
      <vt:lpstr>Retournement</vt:lpstr>
      <vt:lpstr>Calcul!Zone_d_impression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2014-10-13T12:32:52Z</cp:lastPrinted>
  <dcterms:created xsi:type="dcterms:W3CDTF">2014-10-06T12:48:29Z</dcterms:created>
  <dcterms:modified xsi:type="dcterms:W3CDTF">2014-10-29T16:35:30Z</dcterms:modified>
</cp:coreProperties>
</file>