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 activeTab="2"/>
  </bookViews>
  <sheets>
    <sheet name="Calcul" sheetId="1" r:id="rId1"/>
    <sheet name="Releves" sheetId="7" r:id="rId2"/>
    <sheet name="Cadences" sheetId="8" r:id="rId3"/>
    <sheet name="abaques" sheetId="3" state="hidden" r:id="rId4"/>
    <sheet name="Cinématique" sheetId="4" state="hidden" r:id="rId5"/>
    <sheet name="Manutention" sheetId="5" r:id="rId6"/>
    <sheet name="Retournement" sheetId="6" state="hidden" r:id="rId7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K7" i="5" l="1"/>
  <c r="H3" i="8" l="1"/>
  <c r="G3" i="8"/>
  <c r="D3" i="7" l="1"/>
  <c r="D4" i="7"/>
  <c r="D5" i="7"/>
  <c r="D6" i="7"/>
  <c r="D2" i="7"/>
  <c r="K42" i="8" l="1"/>
  <c r="J42" i="8"/>
  <c r="I42" i="8"/>
  <c r="K41" i="8"/>
  <c r="J41" i="8"/>
  <c r="I41" i="8"/>
  <c r="K40" i="8"/>
  <c r="J40" i="8"/>
  <c r="I40" i="8"/>
  <c r="K39" i="8"/>
  <c r="J39" i="8"/>
  <c r="I39" i="8"/>
  <c r="K38" i="8"/>
  <c r="J38" i="8"/>
  <c r="I38" i="8"/>
  <c r="K37" i="8"/>
  <c r="J37" i="8"/>
  <c r="I37" i="8"/>
  <c r="K36" i="8"/>
  <c r="J36" i="8"/>
  <c r="I36" i="8"/>
  <c r="K35" i="8"/>
  <c r="J35" i="8"/>
  <c r="I35" i="8"/>
  <c r="K34" i="8"/>
  <c r="J34" i="8"/>
  <c r="I34" i="8"/>
  <c r="K33" i="8"/>
  <c r="J33" i="8"/>
  <c r="I33" i="8"/>
  <c r="K32" i="8"/>
  <c r="J32" i="8"/>
  <c r="I32" i="8"/>
  <c r="K31" i="8"/>
  <c r="J31" i="8"/>
  <c r="I31" i="8"/>
  <c r="K30" i="8"/>
  <c r="J30" i="8"/>
  <c r="I30" i="8"/>
  <c r="K29" i="8"/>
  <c r="J29" i="8"/>
  <c r="I29" i="8"/>
  <c r="K28" i="8"/>
  <c r="J28" i="8"/>
  <c r="I28" i="8"/>
  <c r="K27" i="8"/>
  <c r="J27" i="8"/>
  <c r="I27" i="8"/>
  <c r="K26" i="8"/>
  <c r="J26" i="8"/>
  <c r="I26" i="8"/>
  <c r="K25" i="8"/>
  <c r="J25" i="8"/>
  <c r="I25" i="8"/>
  <c r="K24" i="8"/>
  <c r="J24" i="8"/>
  <c r="I24" i="8"/>
  <c r="K23" i="8"/>
  <c r="J23" i="8"/>
  <c r="I23" i="8"/>
  <c r="K22" i="8"/>
  <c r="J22" i="8"/>
  <c r="I22" i="8"/>
  <c r="K21" i="8"/>
  <c r="J21" i="8"/>
  <c r="I21" i="8"/>
  <c r="K20" i="8"/>
  <c r="J20" i="8"/>
  <c r="I20" i="8"/>
  <c r="K19" i="8"/>
  <c r="J19" i="8"/>
  <c r="I19" i="8"/>
  <c r="K18" i="8"/>
  <c r="J18" i="8"/>
  <c r="I18" i="8"/>
  <c r="K17" i="8"/>
  <c r="J17" i="8"/>
  <c r="I17" i="8"/>
  <c r="K16" i="8"/>
  <c r="J16" i="8"/>
  <c r="I16" i="8"/>
  <c r="K15" i="8"/>
  <c r="J15" i="8"/>
  <c r="I15" i="8"/>
  <c r="K14" i="8"/>
  <c r="J14" i="8"/>
  <c r="I14" i="8"/>
  <c r="K13" i="8"/>
  <c r="J13" i="8"/>
  <c r="I13" i="8"/>
  <c r="K12" i="8"/>
  <c r="J12" i="8"/>
  <c r="I12" i="8"/>
  <c r="K11" i="8"/>
  <c r="J11" i="8"/>
  <c r="I11" i="8"/>
  <c r="K10" i="8"/>
  <c r="J10" i="8"/>
  <c r="I10" i="8"/>
  <c r="K9" i="8"/>
  <c r="J9" i="8"/>
  <c r="I9" i="8"/>
  <c r="K8" i="8"/>
  <c r="J8" i="8"/>
  <c r="I8" i="8"/>
  <c r="K7" i="8"/>
  <c r="J7" i="8"/>
  <c r="I7" i="8"/>
  <c r="K6" i="8"/>
  <c r="J6" i="8"/>
  <c r="I6" i="8"/>
  <c r="K5" i="8"/>
  <c r="J5" i="8"/>
  <c r="I5" i="8"/>
  <c r="K4" i="8"/>
  <c r="J4" i="8"/>
  <c r="I4" i="8"/>
  <c r="I3" i="8"/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J3" i="8" s="1"/>
  <c r="K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<sst xmlns="http://schemas.openxmlformats.org/spreadsheetml/2006/main" count="192" uniqueCount="152">
  <si>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</si>
  <si>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</si>
  <si>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</si>
  <si>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</si>
  <si>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</si>
  <si>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</si>
  <si>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</si>
  <si>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</si>
  <si>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</si>
  <si>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</si>
  <si>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</si>
  <si>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</si>
  <si>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</si>
  <si>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</si>
  <si>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</si>
  <si>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</si>
  <si>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</si>
  <si>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</si>
  <si>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</si>
  <si>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</si>
  <si>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</si>
  <si>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</si>
  <si>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</si>
  <si>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</si>
  <si>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</si>
  <si>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</si>
  <si>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</si>
  <si>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</si>
  <si>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</si>
  <si>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</si>
  <si>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</si>
  <si>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</si>
  <si>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</si>
  <si>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</si>
  <si>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</si>
  <si>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</si>
  <si>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</si>
  <si>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</si>
  <si>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</si>
  <si>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</si>
  <si>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</si>
  <si>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</si>
  <si>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</si>
  <si>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</si>
  <si>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</si>
  <si>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</si>
  <si>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</si>
  <si>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</si>
  <si>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</si>
  <si>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</si>
  <si>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</si>
  <si>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</si>
  <si>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</si>
  <si>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</si>
  <si>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</si>
  <si>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</si>
  <si>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</si>
  <si>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</si>
  <si>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</si>
  <si>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</si>
  <si>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</si>
  <si>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</si>
  <si>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</si>
  <si>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</si>
  <si>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</si>
  <si>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</si>
  <si>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</si>
  <si>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</si>
  <si>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</si>
  <si>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</si>
  <si>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</si>
  <si>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</si>
  <si>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</si>
  <si>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</si>
  <si>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</si>
  <si>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</si>
  <si>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</si>
  <si>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</si>
  <si>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</si>
  <si>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</si>
  <si>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</si>
  <si>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</si>
  <si>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</si>
  <si>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</si>
  <si>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</si>
  <si>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</si>
  <si>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</si>
  <si>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</si>
  <si>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</si>
  <si>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</si>
  <si>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</si>
  <si>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</si>
  <si>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</si>
  <si>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</si>
  <si>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</si>
  <si>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</si>
  <si>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</si>
  <si>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</si>
  <si>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</si>
  <si>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</si>
  <si>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</si>
  <si>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</si>
  <si>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</si>
  <si>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</si>
  <si>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</si>
  <si>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</si>
  <si>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</si>
  <si>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</si>
  <si>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</si>
  <si>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</si>
  <si>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</si>
  <si>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</si>
  <si>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</si>
  <si>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</si>
  <si>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</si>
  <si>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</si>
  <si>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</si>
  <si>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</si>
  <si>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</si>
  <si>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</si>
  <si>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</si>
  <si>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</si>
  <si>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</si>
  <si>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</si>
  <si>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</si>
  <si>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</si>
  <si>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</si>
  <si>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</si>
  <si>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</si>
  <si>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</si>
  <si>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</si>
  <si>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</si>
  <si>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</si>
  <si>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</si>
  <si>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</si>
  <si>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</si>
  <si>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</si>
  <si>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</si>
  <si>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</si>
  <si>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</si>
  <si>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</si>
  <si>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</si>
  <si>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</si>
  <si>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</si>
  <si>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</si>
  <si>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Cadence</t>
  </si>
  <si>
    <t>Ecart %</t>
  </si>
  <si>
    <t>Début</t>
  </si>
  <si>
    <t>Heure</t>
  </si>
  <si>
    <t>Ecrat 
Temps / Estimation</t>
  </si>
  <si>
    <t>274322E</t>
  </si>
  <si>
    <t>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</si>
</sst>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0_ ;[Red]\-#,##0.00\ 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2" borderId="2" xfId="1" applyFont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7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  <cellStyle name="Pourcentage" xfId="6" builtinId="5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numFmt numFmtId="1" formatCode="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 t="s">
        <v>150</v>
      </c>
      <c r="C1" s="62" t="s">
        <v>42</v>
      </c>
      <c r="D1" s="62"/>
      <c r="E1" s="62"/>
      <c r="F1" s="62"/>
      <c r="G1" s="63">
        <v>44</v>
      </c>
      <c r="H1" s="63"/>
      <c r="I1" s="63"/>
      <c r="J1" s="63"/>
      <c r="K1" s="25"/>
      <c r="L1" s="61" t="s">
        <v>43</v>
      </c>
      <c r="M1" s="61"/>
      <c r="N1" s="61"/>
      <c r="O1" s="20">
        <f>SUM(O21:O30)</f>
        <v>120.256</v>
      </c>
      <c r="Z1" t="b">
        <f>OR($G$2&gt;1000,$G$1&gt;20)</f>
        <v>1</v>
      </c>
    </row>
    <row r="2" spans="1:26" ht="18.75" x14ac:dyDescent="0.3">
      <c r="A2" s="23" t="s">
        <v>70</v>
      </c>
      <c r="B2" s="24"/>
      <c r="C2" s="62" t="s">
        <v>125</v>
      </c>
      <c r="D2" s="62"/>
      <c r="E2" s="62"/>
      <c r="F2" s="62"/>
      <c r="G2" s="63">
        <v>980</v>
      </c>
      <c r="H2" s="63"/>
      <c r="I2" s="63"/>
      <c r="J2" s="63"/>
      <c r="K2" s="25"/>
      <c r="L2" s="61" t="s">
        <v>134</v>
      </c>
      <c r="M2" s="61"/>
      <c r="N2" s="61"/>
      <c r="O2" s="20">
        <f>O1/60</f>
        <v>2.0042666666666666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61" t="s">
        <v>63</v>
      </c>
      <c r="M3" s="61"/>
      <c r="N3" s="61"/>
      <c r="O3" s="21">
        <f>IF(OR(ISBLANK(O1),O1=0),0,3600/O1)</f>
        <v>29.936136242682277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64">
        <v>2</v>
      </c>
      <c r="D5" s="64"/>
      <c r="E5" s="64"/>
      <c r="F5" s="64"/>
      <c r="G5" s="64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64">
        <v>1</v>
      </c>
      <c r="D6" s="64"/>
      <c r="E6" s="64"/>
      <c r="F6" s="64"/>
      <c r="G6" s="64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64">
        <v>1</v>
      </c>
      <c r="D7" s="64"/>
      <c r="E7" s="64"/>
      <c r="F7" s="64"/>
      <c r="G7" s="64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64">
        <v>1</v>
      </c>
      <c r="D8" s="64"/>
      <c r="E8" s="64"/>
      <c r="F8" s="64"/>
      <c r="G8" s="64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64">
        <v>5</v>
      </c>
      <c r="D9" s="64"/>
      <c r="E9" s="64"/>
      <c r="F9" s="64"/>
      <c r="G9" s="64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65" t="s">
        <v>123</v>
      </c>
      <c r="D19" s="66"/>
      <c r="E19" s="66"/>
      <c r="F19" s="66" t="s">
        <v>10</v>
      </c>
      <c r="G19" s="66"/>
      <c r="H19" s="66"/>
      <c r="I19" s="66" t="s">
        <v>11</v>
      </c>
      <c r="J19" s="66"/>
      <c r="K19" s="31" t="s">
        <v>124</v>
      </c>
      <c r="L19" s="31" t="s">
        <v>64</v>
      </c>
      <c r="M19" s="32" t="s">
        <v>48</v>
      </c>
      <c r="N19" s="66" t="s">
        <v>61</v>
      </c>
      <c r="O19" s="67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70" t="s">
        <v>6</v>
      </c>
      <c r="J20" s="70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21</v>
      </c>
      <c r="F21" s="39">
        <f>Manutention!$K$7</f>
        <v>32</v>
      </c>
      <c r="G21" s="39">
        <v>1</v>
      </c>
      <c r="H21" s="39">
        <v>3</v>
      </c>
      <c r="I21" s="73"/>
      <c r="J21" s="74"/>
      <c r="K21" s="39"/>
      <c r="L21" s="39"/>
      <c r="M21" s="39"/>
      <c r="N21" s="40">
        <f>IF(ISBLANK(L21),(C21+D21+E21+F21+G21+H21+I21+K21)*10,L21/0.036)*IF(ISBLANK(M21),1,M21)</f>
        <v>640</v>
      </c>
      <c r="O21" s="41">
        <f>N21*0.036</f>
        <v>23.04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7</v>
      </c>
      <c r="F22" s="43">
        <v>3</v>
      </c>
      <c r="G22" s="43"/>
      <c r="H22" s="43">
        <v>6</v>
      </c>
      <c r="I22" s="71"/>
      <c r="J22" s="72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340</v>
      </c>
      <c r="O22" s="46">
        <f t="shared" ref="O22:O30" si="1">N22*0.036</f>
        <v>12.239999999999998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71"/>
      <c r="J23" s="72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71"/>
      <c r="J24" s="72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1</v>
      </c>
      <c r="D25" s="43">
        <f>IF($M$25&gt;0,6,0)</f>
        <v>6</v>
      </c>
      <c r="E25" s="43">
        <f>IF($M$25&gt;0,Retournement!$K$6,0)</f>
        <v>21</v>
      </c>
      <c r="F25" s="43">
        <f>IF($M$25&gt;0,3,0)</f>
        <v>3</v>
      </c>
      <c r="G25" s="43">
        <f>IF($M$25&gt;0,6,0)</f>
        <v>6</v>
      </c>
      <c r="H25" s="43">
        <f>IF($M$25&gt;0,3,0)</f>
        <v>3</v>
      </c>
      <c r="I25" s="71"/>
      <c r="J25" s="72"/>
      <c r="K25" s="43"/>
      <c r="L25" s="44"/>
      <c r="M25" s="44">
        <f>C6+C7</f>
        <v>2</v>
      </c>
      <c r="N25" s="45">
        <f t="shared" si="0"/>
        <v>800</v>
      </c>
      <c r="O25" s="46">
        <f t="shared" si="1"/>
        <v>28.799999999999997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21</v>
      </c>
      <c r="F26" s="43">
        <f t="shared" si="3"/>
        <v>32</v>
      </c>
      <c r="G26" s="43">
        <f t="shared" si="3"/>
        <v>1</v>
      </c>
      <c r="H26" s="43">
        <f t="shared" si="3"/>
        <v>3</v>
      </c>
      <c r="I26" s="71"/>
      <c r="J26" s="72"/>
      <c r="K26" s="43"/>
      <c r="L26" s="44"/>
      <c r="M26" s="44"/>
      <c r="N26" s="45">
        <f t="shared" si="0"/>
        <v>640</v>
      </c>
      <c r="O26" s="46">
        <f t="shared" si="1"/>
        <v>23.04</v>
      </c>
    </row>
    <row r="27" spans="1:15" ht="18.75" x14ac:dyDescent="0.3">
      <c r="A27" s="25"/>
      <c r="B27" s="37" t="s">
        <v>57</v>
      </c>
      <c r="C27" s="42">
        <f>IF($Z$1,0,C21)</f>
        <v>0</v>
      </c>
      <c r="D27" s="43"/>
      <c r="E27" s="43">
        <f>IF($Z$1,0,E21)</f>
        <v>0</v>
      </c>
      <c r="F27" s="43">
        <f>IF($Z$1,0,6)</f>
        <v>0</v>
      </c>
      <c r="G27" s="43">
        <f>IF($Z$1,0,3)</f>
        <v>0</v>
      </c>
      <c r="H27" s="43">
        <f>IF($Z$1,0,3)</f>
        <v>0</v>
      </c>
      <c r="I27" s="71"/>
      <c r="J27" s="72"/>
      <c r="K27" s="43"/>
      <c r="L27" s="44"/>
      <c r="M27" s="47"/>
      <c r="N27" s="45">
        <f>IF(ISBLANK(L27),(C27+D27+E27+F27+G27+H27+I27+K27)*10,L27/0.036)*IF(ISBLANK(M28),1,M28)</f>
        <v>0</v>
      </c>
      <c r="O27" s="46">
        <f t="shared" si="1"/>
        <v>0</v>
      </c>
    </row>
    <row r="28" spans="1:15" ht="18.75" x14ac:dyDescent="0.3">
      <c r="A28" s="25"/>
      <c r="B28" s="37" t="s">
        <v>58</v>
      </c>
      <c r="C28" s="42">
        <f>IF($Z$1,12,1)</f>
        <v>12</v>
      </c>
      <c r="D28" s="43">
        <f>IF($Z$1,3,0)</f>
        <v>3</v>
      </c>
      <c r="E28" s="43">
        <f>IF($Z$1,3,0)</f>
        <v>3</v>
      </c>
      <c r="F28" s="43">
        <v>1</v>
      </c>
      <c r="G28" s="43"/>
      <c r="H28" s="43">
        <v>1</v>
      </c>
      <c r="I28" s="71">
        <f>ROUNDUP(abaques!$B$11*IF($Z$1,1.25,1),0)</f>
        <v>20</v>
      </c>
      <c r="J28" s="72"/>
      <c r="K28" s="43"/>
      <c r="L28" s="44"/>
      <c r="M28" s="44">
        <f>IF($C$9&gt;0,$C$5/$C$9,0)</f>
        <v>0.4</v>
      </c>
      <c r="N28" s="45">
        <f>IF(ISBLANK(L28),(C28+D28+E28+F28+G28+H28+I28+K28)*10,L28/0.036)*IF(ISBLANK(M29),1,M29)</f>
        <v>320</v>
      </c>
      <c r="O28" s="46">
        <f t="shared" si="1"/>
        <v>11.52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3</v>
      </c>
      <c r="F29" s="43">
        <v>1</v>
      </c>
      <c r="G29" s="43"/>
      <c r="H29" s="43">
        <v>1</v>
      </c>
      <c r="I29" s="71">
        <f>ROUNDUP(abaques!$B$11*IF($Z$1,1.25,1),0)</f>
        <v>20</v>
      </c>
      <c r="J29" s="72"/>
      <c r="K29" s="43"/>
      <c r="L29" s="44"/>
      <c r="M29" s="44">
        <f>IF($C$9&gt;0,($C$5+2)/$C$9,0)</f>
        <v>0.8</v>
      </c>
      <c r="N29" s="45">
        <f>IF(ISBLANK(L29),(C29+D29+E29+F29+G29+H29+I29+K29)*10,L29/0.036)*IF(ISBLANK(M30),1,M30)</f>
        <v>52</v>
      </c>
      <c r="O29" s="46">
        <f t="shared" ref="O29" si="5">N29*0.036</f>
        <v>1.8719999999999999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3</v>
      </c>
      <c r="F30" s="49">
        <f>IF($C$8&gt;0,3,0)</f>
        <v>3</v>
      </c>
      <c r="G30" s="49"/>
      <c r="H30" s="49">
        <f>IF($C$8&gt;0,3,0)</f>
        <v>3</v>
      </c>
      <c r="I30" s="68">
        <f>ROUNDUP(abaques!$B$10*IF($Z$1,1.2,1),0)</f>
        <v>12</v>
      </c>
      <c r="J30" s="69"/>
      <c r="K30" s="49"/>
      <c r="L30" s="50"/>
      <c r="M30" s="50">
        <f>IF($C$9&gt;0,($C$8)/$C$9,0)</f>
        <v>0.2</v>
      </c>
      <c r="N30" s="51">
        <f t="shared" si="0"/>
        <v>44</v>
      </c>
      <c r="O30" s="52">
        <f t="shared" si="1"/>
        <v>1.5839999999999999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E6"/>
  <sheetViews>
    <sheetView zoomScale="96" zoomScaleNormal="96" workbookViewId="0">
      <selection activeCell="D2" sqref="D2:D6"/>
    </sheetView>
  </sheetViews>
  <sheetFormatPr baseColWidth="10" defaultRowHeight="15" x14ac:dyDescent="0.25"/>
  <sheetData>
    <row r="1" spans="2:5" x14ac:dyDescent="0.25">
      <c r="B1" t="s">
        <v>138</v>
      </c>
      <c r="C1" t="s">
        <v>139</v>
      </c>
      <c r="D1" t="s">
        <v>140</v>
      </c>
    </row>
    <row r="2" spans="2:5" x14ac:dyDescent="0.25">
      <c r="B2" t="s">
        <v>151</v>
      </c>
      <c r="C2" s="54">
        <v>41927</v>
      </c>
      <c r="D2" s="59">
        <f>1440*E2</f>
        <v>99.999999999999986</v>
      </c>
      <c r="E2" s="55">
        <v>6.9444444444444434E-2</v>
      </c>
    </row>
    <row r="3" spans="2:5" x14ac:dyDescent="0.25">
      <c r="D3" s="59">
        <f t="shared" ref="D3:D6" si="0">1440*E3</f>
        <v>120</v>
      </c>
      <c r="E3" s="55">
        <v>8.3333333333333329E-2</v>
      </c>
    </row>
    <row r="4" spans="2:5" x14ac:dyDescent="0.25">
      <c r="D4" s="59">
        <f t="shared" si="0"/>
        <v>110.00000000000001</v>
      </c>
      <c r="E4" s="55">
        <v>7.6388888888888895E-2</v>
      </c>
    </row>
    <row r="5" spans="2:5" x14ac:dyDescent="0.25">
      <c r="D5" s="59">
        <f t="shared" si="0"/>
        <v>114.99999999999999</v>
      </c>
      <c r="E5" s="55">
        <v>7.9861111111111105E-2</v>
      </c>
    </row>
    <row r="6" spans="2:5" x14ac:dyDescent="0.25">
      <c r="D6" s="59">
        <f t="shared" si="0"/>
        <v>110.00000000000001</v>
      </c>
      <c r="E6" s="55">
        <v>7.6388888888888895E-2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N42"/>
  <sheetViews>
    <sheetView tabSelected="1" topLeftCell="C1" workbookViewId="0">
      <selection activeCell="E4" sqref="E4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0" width="23" customWidth="1"/>
  </cols>
  <sheetData>
    <row r="1" spans="1:14" ht="21" x14ac:dyDescent="0.35">
      <c r="A1" s="81" t="s">
        <v>138</v>
      </c>
      <c r="B1" s="75" t="s">
        <v>139</v>
      </c>
      <c r="C1" s="80" t="s">
        <v>147</v>
      </c>
      <c r="D1" s="80"/>
      <c r="E1" s="80" t="s">
        <v>142</v>
      </c>
      <c r="F1" s="80"/>
      <c r="G1" s="75" t="s">
        <v>143</v>
      </c>
      <c r="H1" s="75" t="s">
        <v>144</v>
      </c>
      <c r="I1" s="75" t="s">
        <v>145</v>
      </c>
      <c r="J1" s="77" t="s">
        <v>149</v>
      </c>
      <c r="K1" s="78" t="s">
        <v>146</v>
      </c>
    </row>
    <row r="2" spans="1:14" ht="19.5" thickBot="1" x14ac:dyDescent="0.35">
      <c r="A2" s="82"/>
      <c r="B2" s="76"/>
      <c r="C2" s="60" t="s">
        <v>148</v>
      </c>
      <c r="D2" s="60" t="s">
        <v>141</v>
      </c>
      <c r="E2" s="60" t="s">
        <v>142</v>
      </c>
      <c r="F2" s="60" t="s">
        <v>141</v>
      </c>
      <c r="G2" s="76"/>
      <c r="H2" s="76"/>
      <c r="I2" s="76"/>
      <c r="J2" s="76"/>
      <c r="K2" s="79"/>
    </row>
    <row r="3" spans="1:14" x14ac:dyDescent="0.25">
      <c r="A3" t="s">
        <v>151</v>
      </c>
      <c r="B3" s="54">
        <v>41927</v>
      </c>
      <c r="C3" s="55">
        <v>0.42291666666666666</v>
      </c>
      <c r="D3">
        <v>6</v>
      </c>
      <c r="E3" s="55">
        <v>0.47916666666666669</v>
      </c>
      <c r="F3">
        <v>33</v>
      </c>
      <c r="G3" s="55">
        <f>E3-C3</f>
        <v>5.6250000000000022E-2</v>
      </c>
      <c r="H3">
        <f>F3-D3</f>
        <v>27</v>
      </c>
      <c r="I3" s="56">
        <f>IF(ISBLANK(G3),"",ROUNDUP(60*H3/(G3*1440),0))</f>
        <v>20</v>
      </c>
      <c r="J3" s="57">
        <f>IF(ISBLANK(G3),"",Calcul!O3-I3)</f>
        <v>9.9361362426822772</v>
      </c>
      <c r="K3" s="58">
        <f>IF(ISBLANK(G3),"",J3/I3)</f>
        <v>0.49680681213411387</v>
      </c>
      <c r="L3" s="55"/>
      <c r="N3" s="59"/>
    </row>
    <row r="4" spans="1:14" x14ac:dyDescent="0.25">
      <c r="B4" s="54"/>
      <c r="C4" s="55">
        <v>0.5625</v>
      </c>
      <c r="D4">
        <v>34</v>
      </c>
      <c r="E4" s="55"/>
      <c r="G4" s="55"/>
      <c r="I4" s="56" t="str">
        <f t="shared" ref="I4:I42" si="0">IF(ISBLANK(G4),"",ROUNDUP(60*H4/(G4*1440),0))</f>
        <v/>
      </c>
      <c r="J4" s="57" t="str">
        <f>IF(ISBLANK(G4),"",Calcul!O4-I4)</f>
        <v/>
      </c>
      <c r="K4" s="58" t="str">
        <f t="shared" ref="K4:K42" si="1">IF(ISBLANK(G4),"",J4/I4)</f>
        <v/>
      </c>
    </row>
    <row r="5" spans="1:14" x14ac:dyDescent="0.25">
      <c r="B5" s="54"/>
      <c r="C5" s="55"/>
      <c r="E5" s="55"/>
      <c r="G5" s="55"/>
      <c r="I5" s="56" t="str">
        <f t="shared" si="0"/>
        <v/>
      </c>
      <c r="J5" s="57" t="str">
        <f>IF(ISBLANK(G5),"",Calcul!O5-I5)</f>
        <v/>
      </c>
      <c r="K5" s="58" t="str">
        <f t="shared" si="1"/>
        <v/>
      </c>
      <c r="M5" s="59"/>
    </row>
    <row r="6" spans="1:14" x14ac:dyDescent="0.25">
      <c r="B6" s="54"/>
      <c r="C6" s="55"/>
      <c r="E6" s="55"/>
      <c r="G6" s="55"/>
      <c r="I6" s="56" t="str">
        <f t="shared" si="0"/>
        <v/>
      </c>
      <c r="J6" s="57" t="str">
        <f>IF(ISBLANK(G6),"",Calcul!O6-I6)</f>
        <v/>
      </c>
      <c r="K6" s="58" t="str">
        <f t="shared" si="1"/>
        <v/>
      </c>
    </row>
    <row r="7" spans="1:14" x14ac:dyDescent="0.25">
      <c r="B7" s="54"/>
      <c r="C7" s="55"/>
      <c r="E7" s="55"/>
      <c r="G7" s="55"/>
      <c r="I7" s="56" t="str">
        <f t="shared" si="0"/>
        <v/>
      </c>
      <c r="J7" s="57" t="str">
        <f>IF(ISBLANK(G7),"",Calcul!O7-I7)</f>
        <v/>
      </c>
      <c r="K7" s="58" t="str">
        <f t="shared" si="1"/>
        <v/>
      </c>
    </row>
    <row r="8" spans="1:14" x14ac:dyDescent="0.25">
      <c r="B8" s="54"/>
      <c r="C8" s="55"/>
      <c r="E8" s="55"/>
      <c r="G8" s="55"/>
      <c r="I8" s="56" t="str">
        <f t="shared" si="0"/>
        <v/>
      </c>
      <c r="J8" s="57" t="str">
        <f>IF(ISBLANK(G8),"",Calcul!O8-I8)</f>
        <v/>
      </c>
      <c r="K8" s="58" t="str">
        <f t="shared" si="1"/>
        <v/>
      </c>
    </row>
    <row r="9" spans="1:14" x14ac:dyDescent="0.25">
      <c r="B9" s="54"/>
      <c r="C9" s="55"/>
      <c r="E9" s="55"/>
      <c r="G9" s="55"/>
      <c r="I9" s="56" t="str">
        <f t="shared" si="0"/>
        <v/>
      </c>
      <c r="J9" s="57" t="str">
        <f>IF(ISBLANK(G9),"",Calcul!O9-I9)</f>
        <v/>
      </c>
      <c r="K9" s="58" t="str">
        <f t="shared" si="1"/>
        <v/>
      </c>
    </row>
    <row r="10" spans="1:14" x14ac:dyDescent="0.25">
      <c r="B10" s="54"/>
      <c r="C10" s="55"/>
      <c r="E10" s="55"/>
      <c r="G10" s="55"/>
      <c r="I10" s="56" t="str">
        <f t="shared" si="0"/>
        <v/>
      </c>
      <c r="J10" s="57" t="str">
        <f>IF(ISBLANK(G10),"",Calcul!O10-I10)</f>
        <v/>
      </c>
      <c r="K10" s="58" t="str">
        <f t="shared" si="1"/>
        <v/>
      </c>
    </row>
    <row r="11" spans="1:14" x14ac:dyDescent="0.25">
      <c r="B11" s="54"/>
      <c r="C11" s="55"/>
      <c r="E11" s="55"/>
      <c r="G11" s="55"/>
      <c r="I11" s="56" t="str">
        <f t="shared" si="0"/>
        <v/>
      </c>
      <c r="J11" s="57" t="str">
        <f>IF(ISBLANK(G11),"",Calcul!O11-I11)</f>
        <v/>
      </c>
      <c r="K11" s="58" t="str">
        <f t="shared" si="1"/>
        <v/>
      </c>
    </row>
    <row r="12" spans="1:14" x14ac:dyDescent="0.25">
      <c r="B12" s="54"/>
      <c r="C12" s="55"/>
      <c r="E12" s="55"/>
      <c r="G12" s="55"/>
      <c r="I12" s="56" t="str">
        <f t="shared" si="0"/>
        <v/>
      </c>
      <c r="J12" s="57" t="str">
        <f>IF(ISBLANK(G12),"",Calcul!O12-I12)</f>
        <v/>
      </c>
      <c r="K12" s="58" t="str">
        <f t="shared" si="1"/>
        <v/>
      </c>
    </row>
    <row r="13" spans="1:14" x14ac:dyDescent="0.25">
      <c r="B13" s="54"/>
      <c r="C13" s="55"/>
      <c r="E13" s="55"/>
      <c r="G13" s="55"/>
      <c r="I13" s="56" t="str">
        <f t="shared" si="0"/>
        <v/>
      </c>
      <c r="J13" s="57" t="str">
        <f>IF(ISBLANK(G13),"",Calcul!O13-I13)</f>
        <v/>
      </c>
      <c r="K13" s="58" t="str">
        <f t="shared" si="1"/>
        <v/>
      </c>
    </row>
    <row r="14" spans="1:14" x14ac:dyDescent="0.25">
      <c r="B14" s="54"/>
      <c r="C14" s="55"/>
      <c r="E14" s="55"/>
      <c r="G14" s="55"/>
      <c r="I14" s="56" t="str">
        <f t="shared" si="0"/>
        <v/>
      </c>
      <c r="J14" s="57" t="str">
        <f>IF(ISBLANK(G14),"",Calcul!O14-I14)</f>
        <v/>
      </c>
      <c r="K14" s="58" t="str">
        <f t="shared" si="1"/>
        <v/>
      </c>
    </row>
    <row r="15" spans="1:14" x14ac:dyDescent="0.25">
      <c r="B15" s="54"/>
      <c r="C15" s="55"/>
      <c r="E15" s="55"/>
      <c r="G15" s="55"/>
      <c r="I15" s="56" t="str">
        <f t="shared" si="0"/>
        <v/>
      </c>
      <c r="J15" s="57" t="str">
        <f>IF(ISBLANK(G15),"",Calcul!O15-I15)</f>
        <v/>
      </c>
      <c r="K15" s="58" t="str">
        <f t="shared" si="1"/>
        <v/>
      </c>
    </row>
    <row r="16" spans="1:14" x14ac:dyDescent="0.25">
      <c r="B16" s="54"/>
      <c r="C16" s="55"/>
      <c r="E16" s="55"/>
      <c r="G16" s="55"/>
      <c r="I16" s="56" t="str">
        <f t="shared" si="0"/>
        <v/>
      </c>
      <c r="J16" s="57" t="str">
        <f>IF(ISBLANK(G16),"",Calcul!O16-I16)</f>
        <v/>
      </c>
      <c r="K16" s="58" t="str">
        <f t="shared" si="1"/>
        <v/>
      </c>
    </row>
    <row r="17" spans="2:11" x14ac:dyDescent="0.25">
      <c r="B17" s="54"/>
      <c r="C17" s="55"/>
      <c r="E17" s="55"/>
      <c r="G17" s="55"/>
      <c r="I17" s="56" t="str">
        <f t="shared" si="0"/>
        <v/>
      </c>
      <c r="J17" s="57" t="str">
        <f>IF(ISBLANK(G17),"",Calcul!O17-I17)</f>
        <v/>
      </c>
      <c r="K17" s="58" t="str">
        <f t="shared" si="1"/>
        <v/>
      </c>
    </row>
    <row r="18" spans="2:11" x14ac:dyDescent="0.25">
      <c r="B18" s="54"/>
      <c r="C18" s="55"/>
      <c r="E18" s="55"/>
      <c r="G18" s="55"/>
      <c r="I18" s="56" t="str">
        <f t="shared" si="0"/>
        <v/>
      </c>
      <c r="J18" s="57" t="str">
        <f>IF(ISBLANK(G18),"",Calcul!O18-I18)</f>
        <v/>
      </c>
      <c r="K18" s="58" t="str">
        <f t="shared" si="1"/>
        <v/>
      </c>
    </row>
    <row r="19" spans="2:11" x14ac:dyDescent="0.25">
      <c r="B19" s="54"/>
      <c r="C19" s="55"/>
      <c r="E19" s="55"/>
      <c r="G19" s="55"/>
      <c r="I19" s="56" t="str">
        <f t="shared" si="0"/>
        <v/>
      </c>
      <c r="J19" s="57" t="str">
        <f>IF(ISBLANK(G19),"",Calcul!O19-I19)</f>
        <v/>
      </c>
      <c r="K19" s="58" t="str">
        <f t="shared" si="1"/>
        <v/>
      </c>
    </row>
    <row r="20" spans="2:11" x14ac:dyDescent="0.25">
      <c r="B20" s="54"/>
      <c r="C20" s="55"/>
      <c r="E20" s="55"/>
      <c r="G20" s="55"/>
      <c r="I20" s="56" t="str">
        <f t="shared" si="0"/>
        <v/>
      </c>
      <c r="J20" s="57" t="str">
        <f>IF(ISBLANK(G20),"",Calcul!O20-I20)</f>
        <v/>
      </c>
      <c r="K20" s="58" t="str">
        <f t="shared" si="1"/>
        <v/>
      </c>
    </row>
    <row r="21" spans="2:11" x14ac:dyDescent="0.25">
      <c r="B21" s="54"/>
      <c r="C21" s="55"/>
      <c r="E21" s="55"/>
      <c r="G21" s="55"/>
      <c r="I21" s="56" t="str">
        <f t="shared" si="0"/>
        <v/>
      </c>
      <c r="J21" s="57" t="str">
        <f>IF(ISBLANK(G21),"",Calcul!O21-I21)</f>
        <v/>
      </c>
      <c r="K21" s="58" t="str">
        <f t="shared" si="1"/>
        <v/>
      </c>
    </row>
    <row r="22" spans="2:11" x14ac:dyDescent="0.25">
      <c r="B22" s="54"/>
      <c r="C22" s="55"/>
      <c r="E22" s="55"/>
      <c r="G22" s="55"/>
      <c r="I22" s="56" t="str">
        <f t="shared" si="0"/>
        <v/>
      </c>
      <c r="J22" s="57" t="str">
        <f>IF(ISBLANK(G22),"",Calcul!O22-I22)</f>
        <v/>
      </c>
      <c r="K22" s="58" t="str">
        <f t="shared" si="1"/>
        <v/>
      </c>
    </row>
    <row r="23" spans="2:11" x14ac:dyDescent="0.25">
      <c r="B23" s="54"/>
      <c r="C23" s="55"/>
      <c r="E23" s="55"/>
      <c r="G23" s="55"/>
      <c r="I23" s="56" t="str">
        <f t="shared" si="0"/>
        <v/>
      </c>
      <c r="J23" s="57" t="str">
        <f>IF(ISBLANK(G23),"",Calcul!O23-I23)</f>
        <v/>
      </c>
      <c r="K23" s="58" t="str">
        <f t="shared" si="1"/>
        <v/>
      </c>
    </row>
    <row r="24" spans="2:11" x14ac:dyDescent="0.25">
      <c r="B24" s="54"/>
      <c r="C24" s="55"/>
      <c r="E24" s="55"/>
      <c r="G24" s="55"/>
      <c r="I24" s="56" t="str">
        <f t="shared" si="0"/>
        <v/>
      </c>
      <c r="J24" s="57" t="str">
        <f>IF(ISBLANK(G24),"",Calcul!O24-I24)</f>
        <v/>
      </c>
      <c r="K24" s="58" t="str">
        <f t="shared" si="1"/>
        <v/>
      </c>
    </row>
    <row r="25" spans="2:11" x14ac:dyDescent="0.25">
      <c r="B25" s="54"/>
      <c r="C25" s="55"/>
      <c r="E25" s="55"/>
      <c r="G25" s="55"/>
      <c r="I25" s="56" t="str">
        <f t="shared" si="0"/>
        <v/>
      </c>
      <c r="J25" s="57" t="str">
        <f>IF(ISBLANK(G25),"",Calcul!O25-I25)</f>
        <v/>
      </c>
      <c r="K25" s="58" t="str">
        <f t="shared" si="1"/>
        <v/>
      </c>
    </row>
    <row r="26" spans="2:11" x14ac:dyDescent="0.25">
      <c r="B26" s="54"/>
      <c r="C26" s="55"/>
      <c r="E26" s="55"/>
      <c r="G26" s="55"/>
      <c r="I26" s="56" t="str">
        <f t="shared" si="0"/>
        <v/>
      </c>
      <c r="J26" s="57" t="str">
        <f>IF(ISBLANK(G26),"",Calcul!O26-I26)</f>
        <v/>
      </c>
      <c r="K26" s="58" t="str">
        <f t="shared" si="1"/>
        <v/>
      </c>
    </row>
    <row r="27" spans="2:11" x14ac:dyDescent="0.25">
      <c r="B27" s="54"/>
      <c r="C27" s="55"/>
      <c r="E27" s="55"/>
      <c r="G27" s="55"/>
      <c r="I27" s="56" t="str">
        <f t="shared" si="0"/>
        <v/>
      </c>
      <c r="J27" s="57" t="str">
        <f>IF(ISBLANK(G27),"",Calcul!O27-I27)</f>
        <v/>
      </c>
      <c r="K27" s="58" t="str">
        <f t="shared" si="1"/>
        <v/>
      </c>
    </row>
    <row r="28" spans="2:11" x14ac:dyDescent="0.25">
      <c r="B28" s="54"/>
      <c r="C28" s="55"/>
      <c r="E28" s="55"/>
      <c r="G28" s="55"/>
      <c r="I28" s="56" t="str">
        <f t="shared" si="0"/>
        <v/>
      </c>
      <c r="J28" s="57" t="str">
        <f>IF(ISBLANK(G28),"",Calcul!O28-I28)</f>
        <v/>
      </c>
      <c r="K28" s="58" t="str">
        <f t="shared" si="1"/>
        <v/>
      </c>
    </row>
    <row r="29" spans="2:11" x14ac:dyDescent="0.25">
      <c r="B29" s="54"/>
      <c r="C29" s="55"/>
      <c r="E29" s="55"/>
      <c r="G29" s="55"/>
      <c r="I29" s="56" t="str">
        <f t="shared" si="0"/>
        <v/>
      </c>
      <c r="J29" s="57" t="str">
        <f>IF(ISBLANK(G29),"",Calcul!O29-I29)</f>
        <v/>
      </c>
      <c r="K29" s="58" t="str">
        <f t="shared" si="1"/>
        <v/>
      </c>
    </row>
    <row r="30" spans="2:11" x14ac:dyDescent="0.25">
      <c r="B30" s="54"/>
      <c r="C30" s="55"/>
      <c r="E30" s="55"/>
      <c r="G30" s="55"/>
      <c r="I30" s="56" t="str">
        <f t="shared" si="0"/>
        <v/>
      </c>
      <c r="J30" s="57" t="str">
        <f>IF(ISBLANK(G30),"",Calcul!O30-I30)</f>
        <v/>
      </c>
      <c r="K30" s="58" t="str">
        <f t="shared" si="1"/>
        <v/>
      </c>
    </row>
    <row r="31" spans="2:11" x14ac:dyDescent="0.25">
      <c r="B31" s="54"/>
      <c r="C31" s="55"/>
      <c r="E31" s="55"/>
      <c r="G31" s="55"/>
      <c r="I31" s="56" t="str">
        <f t="shared" si="0"/>
        <v/>
      </c>
      <c r="J31" s="57" t="str">
        <f>IF(ISBLANK(G31),"",Calcul!O31-I31)</f>
        <v/>
      </c>
      <c r="K31" s="58" t="str">
        <f t="shared" si="1"/>
        <v/>
      </c>
    </row>
    <row r="32" spans="2:11" x14ac:dyDescent="0.25">
      <c r="B32" s="54"/>
      <c r="C32" s="55"/>
      <c r="E32" s="55"/>
      <c r="G32" s="55"/>
      <c r="I32" s="56" t="str">
        <f t="shared" si="0"/>
        <v/>
      </c>
      <c r="J32" s="57" t="str">
        <f>IF(ISBLANK(G32),"",Calcul!O32-I32)</f>
        <v/>
      </c>
      <c r="K32" s="58" t="str">
        <f t="shared" si="1"/>
        <v/>
      </c>
    </row>
    <row r="33" spans="2:11" x14ac:dyDescent="0.25">
      <c r="B33" s="54"/>
      <c r="C33" s="55"/>
      <c r="E33" s="55"/>
      <c r="G33" s="55"/>
      <c r="I33" s="56" t="str">
        <f t="shared" si="0"/>
        <v/>
      </c>
      <c r="J33" s="57" t="str">
        <f>IF(ISBLANK(G33),"",Calcul!O33-I33)</f>
        <v/>
      </c>
      <c r="K33" s="58" t="str">
        <f t="shared" si="1"/>
        <v/>
      </c>
    </row>
    <row r="34" spans="2:11" x14ac:dyDescent="0.25">
      <c r="B34" s="54"/>
      <c r="C34" s="55"/>
      <c r="E34" s="55"/>
      <c r="G34" s="55"/>
      <c r="I34" s="56" t="str">
        <f t="shared" si="0"/>
        <v/>
      </c>
      <c r="J34" s="57" t="str">
        <f>IF(ISBLANK(G34),"",Calcul!O34-I34)</f>
        <v/>
      </c>
      <c r="K34" s="58" t="str">
        <f t="shared" si="1"/>
        <v/>
      </c>
    </row>
    <row r="35" spans="2:11" x14ac:dyDescent="0.25">
      <c r="B35" s="54"/>
      <c r="C35" s="55"/>
      <c r="E35" s="55"/>
      <c r="G35" s="55"/>
      <c r="I35" s="56" t="str">
        <f t="shared" si="0"/>
        <v/>
      </c>
      <c r="J35" s="57" t="str">
        <f>IF(ISBLANK(G35),"",Calcul!O35-I35)</f>
        <v/>
      </c>
      <c r="K35" s="58" t="str">
        <f t="shared" si="1"/>
        <v/>
      </c>
    </row>
    <row r="36" spans="2:11" x14ac:dyDescent="0.25">
      <c r="B36" s="54"/>
      <c r="C36" s="55"/>
      <c r="E36" s="55"/>
      <c r="G36" s="55"/>
      <c r="I36" s="56" t="str">
        <f t="shared" si="0"/>
        <v/>
      </c>
      <c r="J36" s="57" t="str">
        <f>IF(ISBLANK(G36),"",Calcul!O36-I36)</f>
        <v/>
      </c>
      <c r="K36" s="58" t="str">
        <f t="shared" si="1"/>
        <v/>
      </c>
    </row>
    <row r="37" spans="2:11" x14ac:dyDescent="0.25">
      <c r="B37" s="54"/>
      <c r="C37" s="55"/>
      <c r="E37" s="55"/>
      <c r="G37" s="55"/>
      <c r="I37" s="56" t="str">
        <f t="shared" si="0"/>
        <v/>
      </c>
      <c r="J37" s="57" t="str">
        <f>IF(ISBLANK(G37),"",Calcul!O37-I37)</f>
        <v/>
      </c>
      <c r="K37" s="58" t="str">
        <f t="shared" si="1"/>
        <v/>
      </c>
    </row>
    <row r="38" spans="2:11" x14ac:dyDescent="0.25">
      <c r="B38" s="54"/>
      <c r="C38" s="55"/>
      <c r="E38" s="55"/>
      <c r="G38" s="55"/>
      <c r="I38" s="56" t="str">
        <f t="shared" si="0"/>
        <v/>
      </c>
      <c r="J38" s="57" t="str">
        <f>IF(ISBLANK(G38),"",Calcul!O38-I38)</f>
        <v/>
      </c>
      <c r="K38" s="58" t="str">
        <f t="shared" si="1"/>
        <v/>
      </c>
    </row>
    <row r="39" spans="2:11" x14ac:dyDescent="0.25">
      <c r="B39" s="54"/>
      <c r="C39" s="55"/>
      <c r="E39" s="55"/>
      <c r="G39" s="55"/>
      <c r="I39" s="56" t="str">
        <f t="shared" si="0"/>
        <v/>
      </c>
      <c r="J39" s="57" t="str">
        <f>IF(ISBLANK(G39),"",Calcul!O39-I39)</f>
        <v/>
      </c>
      <c r="K39" s="58" t="str">
        <f t="shared" si="1"/>
        <v/>
      </c>
    </row>
    <row r="40" spans="2:11" x14ac:dyDescent="0.25">
      <c r="B40" s="54"/>
      <c r="C40" s="55"/>
      <c r="E40" s="55"/>
      <c r="G40" s="55"/>
      <c r="I40" s="56" t="str">
        <f t="shared" si="0"/>
        <v/>
      </c>
      <c r="J40" s="57" t="str">
        <f>IF(ISBLANK(G40),"",Calcul!O40-I40)</f>
        <v/>
      </c>
      <c r="K40" s="58" t="str">
        <f t="shared" si="1"/>
        <v/>
      </c>
    </row>
    <row r="41" spans="2:11" x14ac:dyDescent="0.25">
      <c r="B41" s="54"/>
      <c r="C41" s="55"/>
      <c r="E41" s="55"/>
      <c r="G41" s="55"/>
      <c r="I41" s="56" t="str">
        <f t="shared" si="0"/>
        <v/>
      </c>
      <c r="J41" s="57" t="str">
        <f>IF(ISBLANK(G41),"",Calcul!O41-I41)</f>
        <v/>
      </c>
      <c r="K41" s="58" t="str">
        <f t="shared" si="1"/>
        <v/>
      </c>
    </row>
    <row r="42" spans="2:11" x14ac:dyDescent="0.25">
      <c r="B42" s="54"/>
      <c r="C42" s="55"/>
      <c r="E42" s="55"/>
      <c r="G42" s="55"/>
      <c r="I42" s="56" t="str">
        <f t="shared" si="0"/>
        <v/>
      </c>
      <c r="J42" s="57" t="str">
        <f>IF(ISBLANK(G42),"",Calcul!O42-I42)</f>
        <v/>
      </c>
      <c r="K42" s="58" t="str">
        <f t="shared" si="1"/>
        <v/>
      </c>
    </row>
  </sheetData>
  <mergeCells count="9">
    <mergeCell ref="A1:A2"/>
    <mergeCell ref="B1:B2"/>
    <mergeCell ref="G1:G2"/>
    <mergeCell ref="H1:H2"/>
    <mergeCell ref="I1:I2"/>
    <mergeCell ref="J1:J2"/>
    <mergeCell ref="K1:K2"/>
    <mergeCell ref="C1:D1"/>
    <mergeCell ref="E1:F1"/>
  </mergeCells>
  <conditionalFormatting sqref="J3:J42">
    <cfRule type="cellIs" dxfId="4" priority="4" operator="greaterThan">
      <formula>0</formula>
    </cfRule>
    <cfRule type="cellIs" dxfId="3" priority="3" operator="lessThanOrEqual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m:sqref>I3:I42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83" t="s">
        <v>114</v>
      </c>
      <c r="H1" s="83"/>
      <c r="I1" s="83"/>
      <c r="K1" s="83" t="s">
        <v>117</v>
      </c>
      <c r="L1" s="83"/>
      <c r="M1" s="83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K8" sqref="K8"/>
    </sheetView>
  </sheetViews>
  <sheetFormatPr baseColWidth="10" defaultRowHeight="15" x14ac:dyDescent="0.25"/>
  <sheetData>
    <row r="1" spans="1:12" ht="19.5" thickBot="1" x14ac:dyDescent="0.35">
      <c r="A1" s="84" t="s">
        <v>133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85">
        <v>499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980</v>
      </c>
      <c r="K2">
        <f>Calcul!G1</f>
        <v>44</v>
      </c>
    </row>
    <row r="3" spans="1:12" ht="15.75" thickBot="1" x14ac:dyDescent="0.3">
      <c r="A3" s="7" t="s">
        <v>127</v>
      </c>
      <c r="B3" s="86"/>
      <c r="C3" s="88"/>
      <c r="D3" s="88"/>
      <c r="E3" s="88"/>
      <c r="F3" s="88"/>
      <c r="G3" s="90"/>
      <c r="J3">
        <f>HLOOKUP(J2,B2:G2,1)</f>
        <v>499</v>
      </c>
      <c r="K3">
        <f>VLOOKUP(K2,A4:A13,1)</f>
        <v>20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2</v>
      </c>
      <c r="K4">
        <f>MATCH(K3,A4:A13,1)+1</f>
        <v>6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0.75</v>
      </c>
      <c r="K6">
        <f>IF(ISNA(J6),0, ROUNDUP( J6/0.036,0))</f>
        <v>21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32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84" t="s">
        <v>132</v>
      </c>
      <c r="B1" s="84"/>
      <c r="C1" s="84"/>
      <c r="D1" s="84"/>
      <c r="E1" s="84"/>
      <c r="F1" s="84"/>
      <c r="G1" s="84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85">
        <v>500</v>
      </c>
      <c r="C2" s="87">
        <v>999</v>
      </c>
      <c r="D2" s="87">
        <v>1499</v>
      </c>
      <c r="E2" s="87">
        <v>1999</v>
      </c>
      <c r="F2" s="87">
        <v>3999</v>
      </c>
      <c r="G2" s="89">
        <v>8000</v>
      </c>
      <c r="J2">
        <f>Calcul!G2</f>
        <v>980</v>
      </c>
      <c r="K2">
        <f>Calcul!G1</f>
        <v>44</v>
      </c>
    </row>
    <row r="3" spans="1:12" ht="15.75" thickBot="1" x14ac:dyDescent="0.3">
      <c r="A3" s="7" t="s">
        <v>127</v>
      </c>
      <c r="B3" s="86"/>
      <c r="C3" s="88"/>
      <c r="D3" s="88"/>
      <c r="E3" s="88"/>
      <c r="F3" s="88"/>
      <c r="G3" s="90"/>
      <c r="J3">
        <f>HLOOKUP(J2,B2:G2,1)</f>
        <v>500</v>
      </c>
      <c r="K3">
        <f>VLOOKUP(K2,A4:A13,1)</f>
        <v>20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2</v>
      </c>
      <c r="K4">
        <f>MATCH(K3,A4:A13,1)+1</f>
        <v>6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0.75</v>
      </c>
      <c r="K6">
        <f>IF(ISNA(J6),0, ROUNDUP( J6/0.036,0))</f>
        <v>21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2014-10-15T08:04:58Z</cp:lastPrinted>
  <dcterms:created xsi:type="dcterms:W3CDTF">2014-10-06T12:48:29Z</dcterms:created>
  <dcterms:modified xsi:type="dcterms:W3CDTF">2014-10-15T15:41:28Z</dcterms:modified>
</cp:coreProperties>
</file>