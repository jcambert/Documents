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abaques" sheetId="3" state="hidden" r:id="rId2"/>
    <sheet name="Cinématique" sheetId="4" state="hidden" r:id="rId3"/>
    <sheet name="Manutention" sheetId="5" state="hidden" r:id="rId4"/>
    <sheet name="Retournement" sheetId="6" state="hidden" r:id="rId5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K3" i="5" s="1"/>
  <c r="K4" i="5" s="1"/>
  <c r="J2" i="5"/>
  <c r="J3" i="5" l="1"/>
  <c r="J4" i="5" s="1"/>
  <c r="J6" i="5" s="1"/>
  <c r="M30" i="1"/>
  <c r="N29" i="1" s="1"/>
  <c r="O29" i="1" s="1"/>
  <c r="M29" i="1"/>
  <c r="M28" i="1"/>
  <c r="K6" i="5" l="1"/>
  <c r="K7" i="5" s="1"/>
  <c r="M23" i="1"/>
  <c r="M24" i="1"/>
  <c r="N24" i="1" s="1"/>
  <c r="M22" i="1"/>
  <c r="E21" i="1" l="1"/>
  <c r="E27" i="1" s="1"/>
  <c r="F21" i="1"/>
  <c r="F26" i="1" s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<sst xmlns="http://schemas.openxmlformats.org/spreadsheetml/2006/main" count="173" uniqueCount="138">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</sst>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</cellStyleXfs>
  <cellXfs count="7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6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abSelected="1" zoomScale="110" zoomScaleNormal="110" zoomScaleSheetLayoutView="100" workbookViewId="0">
      <selection activeCell="C16" sqref="C16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>
        <v>299948</v>
      </c>
      <c r="C1" s="66" t="s">
        <v>42</v>
      </c>
      <c r="D1" s="66"/>
      <c r="E1" s="66"/>
      <c r="F1" s="66"/>
      <c r="G1" s="67">
        <v>76</v>
      </c>
      <c r="H1" s="67"/>
      <c r="I1" s="67"/>
      <c r="J1" s="67"/>
      <c r="K1" s="25"/>
      <c r="L1" s="65" t="s">
        <v>43</v>
      </c>
      <c r="M1" s="65"/>
      <c r="N1" s="65"/>
      <c r="O1" s="20">
        <f>SUM(O21:O30)</f>
        <v>142.71999999999997</v>
      </c>
      <c r="Z1" t="b">
        <f>OR($G$2&gt;1000,$G$1&gt;20)</f>
        <v>1</v>
      </c>
    </row>
    <row r="2" spans="1:26" ht="18.75" x14ac:dyDescent="0.3">
      <c r="A2" s="23" t="s">
        <v>70</v>
      </c>
      <c r="B2" s="24"/>
      <c r="C2" s="66" t="s">
        <v>125</v>
      </c>
      <c r="D2" s="66"/>
      <c r="E2" s="66"/>
      <c r="F2" s="66"/>
      <c r="G2" s="67">
        <v>1125</v>
      </c>
      <c r="H2" s="67"/>
      <c r="I2" s="67"/>
      <c r="J2" s="67"/>
      <c r="K2" s="25"/>
      <c r="L2" s="65" t="s">
        <v>134</v>
      </c>
      <c r="M2" s="65"/>
      <c r="N2" s="65"/>
      <c r="O2" s="20">
        <f>O1/60</f>
        <v>2.3786666666666663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65" t="s">
        <v>63</v>
      </c>
      <c r="M3" s="65"/>
      <c r="N3" s="65"/>
      <c r="O3" s="21">
        <f>IF(OR(ISBLANK(O1),O1=0),0,3600/O1)</f>
        <v>25.224215246636778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63">
        <v>2</v>
      </c>
      <c r="D5" s="63"/>
      <c r="E5" s="63"/>
      <c r="F5" s="63"/>
      <c r="G5" s="63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63">
        <v>0</v>
      </c>
      <c r="D6" s="63"/>
      <c r="E6" s="63"/>
      <c r="F6" s="63"/>
      <c r="G6" s="63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63">
        <v>0</v>
      </c>
      <c r="D7" s="63"/>
      <c r="E7" s="63"/>
      <c r="F7" s="63"/>
      <c r="G7" s="63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63">
        <v>1</v>
      </c>
      <c r="D8" s="63"/>
      <c r="E8" s="63"/>
      <c r="F8" s="63"/>
      <c r="G8" s="63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63">
        <v>1</v>
      </c>
      <c r="D9" s="63"/>
      <c r="E9" s="63"/>
      <c r="F9" s="63"/>
      <c r="G9" s="63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64" t="s">
        <v>123</v>
      </c>
      <c r="D19" s="54"/>
      <c r="E19" s="54"/>
      <c r="F19" s="54" t="s">
        <v>10</v>
      </c>
      <c r="G19" s="54"/>
      <c r="H19" s="54"/>
      <c r="I19" s="54" t="s">
        <v>11</v>
      </c>
      <c r="J19" s="54"/>
      <c r="K19" s="31" t="s">
        <v>124</v>
      </c>
      <c r="L19" s="31" t="s">
        <v>64</v>
      </c>
      <c r="M19" s="32" t="s">
        <v>48</v>
      </c>
      <c r="N19" s="54" t="s">
        <v>61</v>
      </c>
      <c r="O19" s="55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58" t="s">
        <v>6</v>
      </c>
      <c r="J20" s="58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28</v>
      </c>
      <c r="F21" s="39">
        <f>Manutention!$K$7</f>
        <v>10</v>
      </c>
      <c r="G21" s="39">
        <v>1</v>
      </c>
      <c r="H21" s="39">
        <v>3</v>
      </c>
      <c r="I21" s="61"/>
      <c r="J21" s="62"/>
      <c r="K21" s="39"/>
      <c r="L21" s="39"/>
      <c r="M21" s="39"/>
      <c r="N21" s="40">
        <f>IF(ISBLANK(L21),(C21+D21+E21+F21+G21+H21+I21+K21)*10,L21/0.036)*IF(ISBLANK(M21),1,M21)</f>
        <v>490</v>
      </c>
      <c r="O21" s="41">
        <f>N21*0.036</f>
        <v>17.639999999999997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10</v>
      </c>
      <c r="F22" s="43">
        <v>3</v>
      </c>
      <c r="G22" s="43"/>
      <c r="H22" s="43">
        <v>6</v>
      </c>
      <c r="I22" s="59"/>
      <c r="J22" s="60"/>
      <c r="K22" s="43"/>
      <c r="L22" s="44"/>
      <c r="M22" s="44">
        <f>$C$5</f>
        <v>2</v>
      </c>
      <c r="N22" s="45">
        <f t="shared" ref="N22:N30" si="0">IF(ISBLANK(L22),(C22+D22+E22+F22+G22+H22+I22+K22)*10,L22/0.036)*IF(ISBLANK(M22),1,M22)</f>
        <v>400</v>
      </c>
      <c r="O22" s="46">
        <f t="shared" ref="O22:O30" si="1">N22*0.036</f>
        <v>14.399999999999999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59"/>
      <c r="J23" s="60"/>
      <c r="K23" s="43"/>
      <c r="L23" s="44"/>
      <c r="M23" s="44">
        <f t="shared" ref="M23:M24" si="2">$C$5</f>
        <v>2</v>
      </c>
      <c r="N23" s="45">
        <f t="shared" si="0"/>
        <v>60</v>
      </c>
      <c r="O23" s="46">
        <f t="shared" si="1"/>
        <v>2.1599999999999997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59"/>
      <c r="J24" s="60"/>
      <c r="K24" s="43">
        <v>6</v>
      </c>
      <c r="L24" s="44">
        <v>8</v>
      </c>
      <c r="M24" s="44">
        <f t="shared" si="2"/>
        <v>2</v>
      </c>
      <c r="N24" s="45">
        <f>IF(ISBLANK(L24),(C24+D24+E24+F24+G24+H24+I24+K24)*10,L24/0.036)*IF(ISBLANK(M24),1,M24)</f>
        <v>444.44444444444446</v>
      </c>
      <c r="O24" s="46">
        <f t="shared" si="1"/>
        <v>16</v>
      </c>
    </row>
    <row r="25" spans="1:15" ht="18.75" x14ac:dyDescent="0.3">
      <c r="A25" s="25"/>
      <c r="B25" s="37" t="s">
        <v>55</v>
      </c>
      <c r="C25" s="42">
        <f>IF($M$25&gt;0,1,0)</f>
        <v>0</v>
      </c>
      <c r="D25" s="43">
        <f>IF($M$25&gt;0,6,0)</f>
        <v>0</v>
      </c>
      <c r="E25" s="43">
        <f>IF($M$25&gt;0,Retournement!$K$6,0)</f>
        <v>0</v>
      </c>
      <c r="F25" s="43">
        <f>IF($M$25&gt;0,3,0)</f>
        <v>0</v>
      </c>
      <c r="G25" s="43">
        <f>IF($M$25&gt;0,6,0)</f>
        <v>0</v>
      </c>
      <c r="H25" s="43">
        <f>IF($M$25&gt;0,3,0)</f>
        <v>0</v>
      </c>
      <c r="I25" s="59"/>
      <c r="J25" s="60"/>
      <c r="K25" s="43"/>
      <c r="L25" s="44"/>
      <c r="M25" s="44">
        <f>C6+C7</f>
        <v>0</v>
      </c>
      <c r="N25" s="45">
        <f t="shared" si="0"/>
        <v>0</v>
      </c>
      <c r="O25" s="46">
        <f t="shared" si="1"/>
        <v>0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28</v>
      </c>
      <c r="F26" s="43">
        <f t="shared" si="3"/>
        <v>10</v>
      </c>
      <c r="G26" s="43">
        <f t="shared" si="3"/>
        <v>1</v>
      </c>
      <c r="H26" s="43">
        <f t="shared" si="3"/>
        <v>3</v>
      </c>
      <c r="I26" s="59"/>
      <c r="J26" s="60"/>
      <c r="K26" s="43"/>
      <c r="L26" s="44"/>
      <c r="M26" s="44"/>
      <c r="N26" s="45">
        <f t="shared" si="0"/>
        <v>490</v>
      </c>
      <c r="O26" s="46">
        <f t="shared" si="1"/>
        <v>17.639999999999997</v>
      </c>
    </row>
    <row r="27" spans="1:15" ht="18.75" x14ac:dyDescent="0.3">
      <c r="A27" s="25"/>
      <c r="B27" s="37" t="s">
        <v>57</v>
      </c>
      <c r="C27" s="42">
        <f>IF($Z$1,0,C21)</f>
        <v>0</v>
      </c>
      <c r="D27" s="43"/>
      <c r="E27" s="43">
        <f>IF($Z$1,0,E21)</f>
        <v>0</v>
      </c>
      <c r="F27" s="43">
        <f>IF($Z$1,0,6)</f>
        <v>0</v>
      </c>
      <c r="G27" s="43">
        <f>IF($Z$1,0,3)</f>
        <v>0</v>
      </c>
      <c r="H27" s="43">
        <f>IF($Z$1,0,3)</f>
        <v>0</v>
      </c>
      <c r="I27" s="59"/>
      <c r="J27" s="60"/>
      <c r="K27" s="43"/>
      <c r="L27" s="44"/>
      <c r="M27" s="47"/>
      <c r="N27" s="45">
        <f>IF(ISBLANK(L27),(C27+D27+E27+F27+G27+H27+I27+K27)*10,L27/0.036)*IF(ISBLANK(M28),1,M28)</f>
        <v>0</v>
      </c>
      <c r="O27" s="46">
        <f t="shared" si="1"/>
        <v>0</v>
      </c>
    </row>
    <row r="28" spans="1:15" ht="18.75" x14ac:dyDescent="0.3">
      <c r="A28" s="25"/>
      <c r="B28" s="37" t="s">
        <v>58</v>
      </c>
      <c r="C28" s="42">
        <f>IF($Z$1,12,1)</f>
        <v>12</v>
      </c>
      <c r="D28" s="43">
        <f>IF($Z$1,3,0)</f>
        <v>3</v>
      </c>
      <c r="E28" s="43">
        <f>IF($Z$1,3,0)</f>
        <v>3</v>
      </c>
      <c r="F28" s="43">
        <v>1</v>
      </c>
      <c r="G28" s="43"/>
      <c r="H28" s="43">
        <v>1</v>
      </c>
      <c r="I28" s="59">
        <f>ROUNDUP(abaques!$B$11*IF($Z$1,1.25,1),0)</f>
        <v>20</v>
      </c>
      <c r="J28" s="60"/>
      <c r="K28" s="43"/>
      <c r="L28" s="44"/>
      <c r="M28" s="44">
        <f>IF($C$9&gt;0,$C$5/$C$9,0)</f>
        <v>2</v>
      </c>
      <c r="N28" s="45">
        <f>IF(ISBLANK(L28),(C28+D28+E28+F28+G28+H28+I28+K28)*10,L28/0.036)*IF(ISBLANK(M29),1,M29)</f>
        <v>1600</v>
      </c>
      <c r="O28" s="46">
        <f t="shared" si="1"/>
        <v>57.599999999999994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3</v>
      </c>
      <c r="F29" s="43">
        <v>1</v>
      </c>
      <c r="G29" s="43"/>
      <c r="H29" s="43">
        <v>1</v>
      </c>
      <c r="I29" s="59">
        <f>ROUNDUP(abaques!$B$11*IF($Z$1,1.25,1),0)</f>
        <v>20</v>
      </c>
      <c r="J29" s="60"/>
      <c r="K29" s="43"/>
      <c r="L29" s="44"/>
      <c r="M29" s="44">
        <f>IF($C$9&gt;0,($C$5+2)/$C$9,0)</f>
        <v>4</v>
      </c>
      <c r="N29" s="45">
        <f>IF(ISBLANK(L29),(C29+D29+E29+F29+G29+H29+I29+K29)*10,L29/0.036)*IF(ISBLANK(M30),1,M30)</f>
        <v>260</v>
      </c>
      <c r="O29" s="46">
        <f t="shared" ref="O29" si="5">N29*0.036</f>
        <v>9.36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3</v>
      </c>
      <c r="F30" s="49">
        <f>IF($C$8&gt;0,3,0)</f>
        <v>3</v>
      </c>
      <c r="G30" s="49"/>
      <c r="H30" s="49">
        <f>IF($C$8&gt;0,3,0)</f>
        <v>3</v>
      </c>
      <c r="I30" s="56">
        <f>ROUNDUP(abaques!$B$10*IF($Z$1,1.2,1),0)</f>
        <v>12</v>
      </c>
      <c r="J30" s="57"/>
      <c r="K30" s="49"/>
      <c r="L30" s="50"/>
      <c r="M30" s="50">
        <f>IF($C$9&gt;0,($C$8)/$C$9,0)</f>
        <v>1</v>
      </c>
      <c r="N30" s="51">
        <f t="shared" si="0"/>
        <v>220</v>
      </c>
      <c r="O30" s="52">
        <f t="shared" si="1"/>
        <v>7.919999999999999</v>
      </c>
    </row>
  </sheetData>
  <dataConsolidate/>
  <mergeCells count="27">
    <mergeCell ref="L1:N1"/>
    <mergeCell ref="L3:N3"/>
    <mergeCell ref="C2:F2"/>
    <mergeCell ref="G2:J2"/>
    <mergeCell ref="C1:F1"/>
    <mergeCell ref="G1:J1"/>
    <mergeCell ref="L2:N2"/>
    <mergeCell ref="C5:G5"/>
    <mergeCell ref="C19:E19"/>
    <mergeCell ref="F19:H19"/>
    <mergeCell ref="I19:J19"/>
    <mergeCell ref="C6:G6"/>
    <mergeCell ref="C7:G7"/>
    <mergeCell ref="C8:G8"/>
    <mergeCell ref="C9:G9"/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68" t="s">
        <v>114</v>
      </c>
      <c r="H1" s="68"/>
      <c r="I1" s="68"/>
      <c r="K1" s="68" t="s">
        <v>117</v>
      </c>
      <c r="L1" s="68"/>
      <c r="M1" s="68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K8" sqref="K8"/>
    </sheetView>
  </sheetViews>
  <sheetFormatPr baseColWidth="10" defaultRowHeight="15" x14ac:dyDescent="0.25"/>
  <sheetData>
    <row r="1" spans="1:12" ht="19.5" thickBot="1" x14ac:dyDescent="0.35">
      <c r="A1" s="69" t="s">
        <v>133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499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1125</v>
      </c>
      <c r="K2">
        <f>Calcul!G1</f>
        <v>76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>
        <f>HLOOKUP(J2,B2:G2,1)</f>
        <v>999</v>
      </c>
      <c r="K3">
        <f>VLOOKUP(K2,A4:A13,1)</f>
        <v>20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3</v>
      </c>
      <c r="K4">
        <f>MATCH(K3,A4:A13,1)+1</f>
        <v>6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1</v>
      </c>
      <c r="K6">
        <f>IF(ISNA(J6),0, ROUNDUP( J6/0.036,0))</f>
        <v>28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IF(J2&gt;1000,ROUNDUP(K6/3,0),1)</f>
        <v>10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132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500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1125</v>
      </c>
      <c r="K2">
        <f>Calcul!G1</f>
        <v>76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>
        <f>HLOOKUP(J2,B2:G2,1)</f>
        <v>999</v>
      </c>
      <c r="K3">
        <f>VLOOKUP(K2,A4:A13,1)</f>
        <v>20</v>
      </c>
    </row>
    <row r="4" spans="1:1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3</v>
      </c>
      <c r="K4">
        <f>MATCH(K3,A4:A13,1)+1</f>
        <v>6</v>
      </c>
    </row>
    <row r="5" spans="1:1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</row>
    <row r="6" spans="1:1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1</v>
      </c>
      <c r="K6">
        <f>IF(ISNA(J6),0, ROUNDUP( J6/0.036,0))</f>
        <v>28</v>
      </c>
      <c r="L6" t="s">
        <v>130</v>
      </c>
    </row>
    <row r="7" spans="1:1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</row>
    <row r="8" spans="1:1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</row>
    <row r="9" spans="1:1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</row>
    <row r="10" spans="1:1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Calcul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2014-10-13T12:32:52Z</cp:lastPrinted>
  <dcterms:created xsi:type="dcterms:W3CDTF">2014-10-06T12:48:29Z</dcterms:created>
  <dcterms:modified xsi:type="dcterms:W3CDTF">2014-10-14T11:36:00Z</dcterms:modified>
</cp:coreProperties>
</file>