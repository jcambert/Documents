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/>
  </bookViews>
  <sheets>
    <sheet name="calcul" sheetId="1" r:id="rId1"/>
    <sheet name="abaque" sheetId="3" r:id="rId2"/>
  </sheets>
  <definedNames>
    <definedName name="_xlnm.Print_Area" localSheetId="0">calcul!$A$1:$P$30</definedName>
  </definedNames>
  <calcPr calcId="145621"/>
</workbook>
</file>

<file path=xl/calcChain.xml><?xml version="1.0" encoding="utf-8"?>
<calcChain xmlns="http://schemas.openxmlformats.org/spreadsheetml/2006/main">
  <c r="M30" i="1" l="1"/>
  <c r="N29" i="1"/>
  <c r="O29" i="1" s="1"/>
  <c r="M29" i="1"/>
  <c r="M28" i="1"/>
  <c r="M23" i="1" l="1"/>
  <c r="M24" i="1"/>
  <c r="M22" i="1"/>
  <c r="A14" i="3" l="1"/>
  <c r="A13" i="3"/>
  <c r="N22" i="1" l="1"/>
  <c r="O22" i="1" s="1"/>
  <c r="N23" i="1"/>
  <c r="O23" i="1" s="1"/>
  <c r="N24" i="1"/>
  <c r="O24" i="1"/>
  <c r="N25" i="1"/>
  <c r="O25" i="1" s="1"/>
  <c r="N26" i="1"/>
  <c r="N27" i="1"/>
  <c r="O27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26" i="1" l="1"/>
  <c r="N34" i="1"/>
  <c r="O1" i="1"/>
  <c r="O2" i="1" s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<sst xmlns="http://schemas.openxmlformats.org/spreadsheetml/2006/main" count="93" uniqueCount="83">
  <si>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</si>
  <si>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</si>
  <si>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</si>
  <si>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</si>
  <si>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</si>
  <si>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</si>
  <si>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</si>
  <si>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</si>
  <si>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</si>
  <si>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</si>
  <si>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</si>
  <si>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</si>
  <si>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</si>
  <si>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</si>
  <si>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</si>
  <si>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</si>
  <si>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</si>
  <si>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</si>
  <si>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</si>
  <si>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</si>
  <si>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</si>
  <si>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</si>
  <si>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</si>
  <si>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</si>
  <si>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</si>
  <si>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</si>
  <si>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</si>
  <si>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</si>
  <si>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</si>
  <si>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</si>
  <si>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</si>
  <si>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</si>
  <si>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</si>
  <si>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</si>
  <si>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</si>
  <si>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</si>
  <si>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</si>
  <si>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</si>
  <si>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</si>
  <si>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</si>
  <si>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</si>
  <si>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</si>
  <si>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</si>
  <si>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</si>
  <si>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</si>
  <si>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</si>
  <si>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</si>
  <si>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Prise</t>
  </si>
  <si>
    <t>Suivant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</si>
  <si>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</si>
  <si>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</si>
  <si>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</si>
  <si>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</si>
  <si>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</si>
  <si>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</si>
  <si>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</si>
  <si>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</si>
  <si>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</si>
  <si>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</si>
  <si>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</si>
  <si>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</si>
  <si>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</si>
  <si>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</si>
  <si>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</si>
  <si>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</si>
  <si>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</si>
  <si>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</si>
  <si>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</si>
  <si>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</si>
  <si>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Retournt pour conditionnement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</si>
  <si>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</si>
  <si>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</si>
  <si>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</si>
  <si>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</si>
  <si>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</si>
  <si>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</si>
  <si>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</si>
  <si>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</si>
  <si>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</si>
  <si>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</si>
  <si>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</si>
  <si>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258994D</t>
  </si>
  <si>
    <t>MNT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</si>
</sst>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3" fillId="0" borderId="15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6" fillId="2" borderId="0" xfId="1"/>
    <xf numFmtId="0" fontId="6" fillId="2" borderId="0" xfId="1" applyAlignment="1">
      <alignment wrapText="1"/>
    </xf>
    <xf numFmtId="0" fontId="6" fillId="4" borderId="0" xfId="3"/>
    <xf numFmtId="0" fontId="6" fillId="4" borderId="0" xfId="3" applyAlignment="1" applyProtection="1">
      <alignment horizontal="left"/>
      <protection locked="0"/>
    </xf>
    <xf numFmtId="164" fontId="7" fillId="3" borderId="0" xfId="2" applyNumberFormat="1" applyFont="1" applyAlignment="1"/>
    <xf numFmtId="1" fontId="7" fillId="3" borderId="0" xfId="2" applyNumberFormat="1" applyFont="1" applyAlignment="1"/>
    <xf numFmtId="0" fontId="8" fillId="5" borderId="0" xfId="4" applyFont="1"/>
    <xf numFmtId="0" fontId="6" fillId="4" borderId="10" xfId="3" applyBorder="1" applyProtection="1">
      <protection locked="0"/>
    </xf>
    <xf numFmtId="0" fontId="6" fillId="4" borderId="7" xfId="3" applyBorder="1" applyProtection="1">
      <protection locked="0"/>
    </xf>
    <xf numFmtId="0" fontId="6" fillId="4" borderId="11" xfId="3" applyBorder="1" applyProtection="1">
      <protection locked="0"/>
    </xf>
    <xf numFmtId="0" fontId="6" fillId="4" borderId="4" xfId="3" applyBorder="1" applyProtection="1">
      <protection locked="0"/>
    </xf>
    <xf numFmtId="0" fontId="6" fillId="4" borderId="9" xfId="3" applyBorder="1" applyProtection="1">
      <protection locked="0"/>
    </xf>
    <xf numFmtId="0" fontId="6" fillId="4" borderId="5" xfId="3" applyBorder="1" applyProtection="1">
      <protection locked="0"/>
    </xf>
    <xf numFmtId="0" fontId="5" fillId="2" borderId="13" xfId="1" applyFont="1" applyBorder="1"/>
    <xf numFmtId="0" fontId="5" fillId="2" borderId="14" xfId="1" applyFont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9" fillId="2" borderId="12" xfId="1" applyFont="1" applyBorder="1"/>
    <xf numFmtId="2" fontId="6" fillId="4" borderId="7" xfId="3" applyNumberFormat="1" applyBorder="1"/>
    <xf numFmtId="2" fontId="6" fillId="4" borderId="8" xfId="3" applyNumberFormat="1" applyBorder="1"/>
    <xf numFmtId="2" fontId="0" fillId="0" borderId="0" xfId="0" applyNumberFormat="1"/>
    <xf numFmtId="0" fontId="9" fillId="2" borderId="2" xfId="1" applyFont="1" applyBorder="1" applyAlignment="1">
      <alignment vertical="center"/>
    </xf>
    <xf numFmtId="0" fontId="9" fillId="2" borderId="2" xfId="1" applyFont="1" applyBorder="1" applyAlignment="1">
      <alignment vertical="center" wrapText="1"/>
    </xf>
    <xf numFmtId="0" fontId="6" fillId="4" borderId="5" xfId="3" applyBorder="1" applyAlignment="1" applyProtection="1">
      <alignment horizontal="center"/>
      <protection locked="0"/>
    </xf>
    <xf numFmtId="0" fontId="5" fillId="2" borderId="5" xfId="1" applyFont="1" applyBorder="1" applyAlignment="1">
      <alignment horizontal="center"/>
    </xf>
    <xf numFmtId="0" fontId="6" fillId="4" borderId="4" xfId="3" applyBorder="1" applyAlignment="1" applyProtection="1">
      <alignment horizontal="center"/>
      <protection locked="0"/>
    </xf>
    <xf numFmtId="0" fontId="6" fillId="4" borderId="7" xfId="3" applyBorder="1" applyAlignment="1" applyProtection="1">
      <alignment horizontal="center"/>
      <protection locked="0"/>
    </xf>
    <xf numFmtId="0" fontId="9" fillId="2" borderId="2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6" fillId="2" borderId="0" xfId="1" applyAlignment="1">
      <alignment horizontal="center"/>
    </xf>
    <xf numFmtId="0" fontId="6" fillId="4" borderId="0" xfId="3" applyAlignment="1" applyProtection="1">
      <alignment horizontal="left"/>
      <protection locked="0"/>
    </xf>
    <xf numFmtId="0" fontId="8" fillId="4" borderId="0" xfId="3" applyFont="1" applyAlignment="1" applyProtection="1">
      <alignment horizontal="left"/>
      <protection locked="0"/>
    </xf>
    <xf numFmtId="0" fontId="9" fillId="2" borderId="1" xfId="1" applyFont="1" applyBorder="1" applyAlignment="1">
      <alignment horizontal="center" vertical="center"/>
    </xf>
    <xf numFmtId="0" fontId="6" fillId="2" borderId="0" xfId="1" applyAlignment="1">
      <alignment horizontal="right"/>
    </xf>
  </cellXfs>
  <cellStyles count="5"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O:\CH_1\1-Articles\Pieces\MNT\258994D.dpr.em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10</xdr:row>
      <xdr:rowOff>0</xdr:rowOff>
    </xdr:from>
    <xdr:to>
      <xdr:col>10</xdr:col>
      <xdr:colOff>323850</xdr:colOff>
      <xdr:row>18</xdr:row>
      <xdr:rowOff>142875</xdr:rowOff>
    </xdr:to>
    <xdr:pic>
      <xdr:nvPicPr>
        <xdr:cNvPr id="2" name="plan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31925" y="2219325"/>
          <a:ext cx="4921250" cy="1676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O34"/>
  <sheetViews>
    <sheetView tabSelected="1" zoomScaleNormal="100" zoomScaleSheetLayoutView="112" workbookViewId="0">
      <selection activeCell="C23" sqref="C23"/>
    </sheetView>
  </sheetViews>
  <sheetFormatPr baseColWidth="10" defaultRowHeight="15" x14ac:dyDescent="0.25"/>
  <cols>
    <col min="1" max="1" width="21.28515625" bestFit="1" customWidth="1"/>
    <col min="2" max="2" width="43" bestFit="1" customWidth="1"/>
    <col min="3" max="9" width="3" customWidth="1"/>
    <col min="10" max="10" width="5.140625" customWidth="1"/>
    <col min="11" max="11" width="8.140625" customWidth="1"/>
    <col min="12" max="12" width="6.7109375" customWidth="1"/>
    <col min="13" max="13" width="5.5703125" customWidth="1"/>
    <col min="14" max="14" width="9.5703125" bestFit="1" customWidth="1"/>
    <col min="15" max="15" width="10.140625" bestFit="1" customWidth="1"/>
  </cols>
  <sheetData>
    <row r="1" spans="1:15" ht="18.75" x14ac:dyDescent="0.3">
      <c r="A1" s="9" t="s">
        <v>37</v>
      </c>
      <c r="B1" s="12" t="s">
        <v>81</v>
      </c>
      <c r="C1" s="39" t="s">
        <v>42</v>
      </c>
      <c r="D1" s="39"/>
      <c r="E1" s="39"/>
      <c r="F1" s="39"/>
      <c r="G1" s="40">
        <v>65</v>
      </c>
      <c r="H1" s="40"/>
      <c r="I1" s="40"/>
      <c r="J1" s="40"/>
      <c r="L1" s="43" t="s">
        <v>43</v>
      </c>
      <c r="M1" s="43"/>
      <c r="N1" s="43"/>
      <c r="O1" s="13">
        <f>SUM(O21:O30)</f>
        <v>133.63199999999998</v>
      </c>
    </row>
    <row r="2" spans="1:15" ht="18.75" x14ac:dyDescent="0.3">
      <c r="A2" s="9" t="s">
        <v>73</v>
      </c>
      <c r="B2" s="12" t="s">
        <v>82</v>
      </c>
      <c r="C2" s="6"/>
      <c r="D2" s="6"/>
      <c r="E2" s="6"/>
      <c r="F2" s="6"/>
      <c r="G2" s="7"/>
      <c r="H2" s="7"/>
      <c r="I2" s="7"/>
      <c r="J2" s="7"/>
      <c r="L2" s="43" t="s">
        <v>65</v>
      </c>
      <c r="M2" s="43"/>
      <c r="N2" s="43"/>
      <c r="O2" s="14">
        <f>IF(OR(ISBLANK(O1),O1=0),0,3600/O1)</f>
        <v>26.939655172413797</v>
      </c>
    </row>
    <row r="3" spans="1:15" ht="15.75" x14ac:dyDescent="0.25">
      <c r="A3" s="9" t="s">
        <v>38</v>
      </c>
      <c r="B3" s="15" t="s">
        <v>39</v>
      </c>
    </row>
    <row r="4" spans="1:15" ht="18.75" x14ac:dyDescent="0.3">
      <c r="A4" s="5"/>
      <c r="B4" s="5"/>
    </row>
    <row r="5" spans="1:15" ht="15.75" x14ac:dyDescent="0.25">
      <c r="A5" s="9" t="s">
        <v>40</v>
      </c>
      <c r="B5" s="9" t="s">
        <v>41</v>
      </c>
      <c r="C5" s="41">
        <v>2</v>
      </c>
      <c r="D5" s="41"/>
      <c r="E5" s="41"/>
      <c r="F5" s="41"/>
      <c r="G5" s="41"/>
    </row>
    <row r="6" spans="1:15" ht="18.75" x14ac:dyDescent="0.3">
      <c r="A6" s="5"/>
      <c r="B6" s="9" t="s">
        <v>45</v>
      </c>
      <c r="C6" s="41">
        <v>0</v>
      </c>
      <c r="D6" s="41"/>
      <c r="E6" s="41"/>
      <c r="F6" s="41"/>
      <c r="G6" s="41"/>
      <c r="H6" s="3"/>
    </row>
    <row r="7" spans="1:15" ht="18.75" x14ac:dyDescent="0.3">
      <c r="A7" s="5"/>
      <c r="B7" s="10" t="s">
        <v>69</v>
      </c>
      <c r="C7" s="41">
        <v>1</v>
      </c>
      <c r="D7" s="41"/>
      <c r="E7" s="41"/>
      <c r="F7" s="41"/>
      <c r="G7" s="41"/>
      <c r="H7" s="3"/>
    </row>
    <row r="8" spans="1:15" ht="18.75" x14ac:dyDescent="0.3">
      <c r="A8" s="5"/>
      <c r="B8" s="9" t="s">
        <v>44</v>
      </c>
      <c r="C8" s="41">
        <v>1</v>
      </c>
      <c r="D8" s="41"/>
      <c r="E8" s="41"/>
      <c r="F8" s="41"/>
      <c r="G8" s="41"/>
      <c r="H8" s="3"/>
      <c r="I8" s="3"/>
    </row>
    <row r="9" spans="1:15" ht="15.75" x14ac:dyDescent="0.25">
      <c r="B9" s="9" t="s">
        <v>67</v>
      </c>
      <c r="C9" s="41">
        <v>5</v>
      </c>
      <c r="D9" s="41"/>
      <c r="E9" s="41"/>
      <c r="F9" s="41"/>
      <c r="G9" s="41"/>
      <c r="H9" s="3"/>
      <c r="I9" s="3"/>
    </row>
    <row r="10" spans="1:15" x14ac:dyDescent="0.25">
      <c r="C10" s="3"/>
      <c r="D10" s="3"/>
      <c r="E10" s="3"/>
      <c r="F10" s="3"/>
      <c r="G10" s="3"/>
      <c r="H10" s="3"/>
      <c r="I10" s="3"/>
    </row>
    <row r="11" spans="1:15" x14ac:dyDescent="0.25">
      <c r="B11" s="8"/>
      <c r="C11" s="3"/>
      <c r="D11" s="3"/>
      <c r="E11" s="3"/>
      <c r="F11" s="3"/>
      <c r="G11" s="3"/>
      <c r="H11" s="3"/>
      <c r="I11" s="3"/>
    </row>
    <row r="12" spans="1:15" x14ac:dyDescent="0.25">
      <c r="C12" s="3"/>
      <c r="D12" s="3"/>
      <c r="E12" s="3"/>
      <c r="F12" s="3"/>
      <c r="G12" s="3"/>
      <c r="H12" s="3"/>
      <c r="I12" s="3"/>
    </row>
    <row r="13" spans="1:15" x14ac:dyDescent="0.25">
      <c r="C13" s="3"/>
      <c r="D13" s="3"/>
      <c r="E13" s="3"/>
      <c r="F13" s="3"/>
      <c r="G13" s="3"/>
      <c r="H13" s="3"/>
      <c r="I13" s="3"/>
    </row>
    <row r="14" spans="1:15" x14ac:dyDescent="0.25">
      <c r="C14" s="3"/>
      <c r="D14" s="3"/>
      <c r="E14" s="3"/>
      <c r="F14" s="3"/>
      <c r="G14" s="3"/>
      <c r="H14" s="3"/>
      <c r="I14" s="3"/>
    </row>
    <row r="15" spans="1:15" x14ac:dyDescent="0.25">
      <c r="C15" s="3"/>
      <c r="D15" s="3"/>
      <c r="E15" s="3"/>
      <c r="F15" s="3"/>
      <c r="G15" s="3"/>
      <c r="H15" s="3"/>
      <c r="I15" s="3"/>
    </row>
    <row r="18" spans="2:15" ht="15.75" thickBot="1" x14ac:dyDescent="0.3"/>
    <row r="19" spans="2:15" ht="30.75" thickBot="1" x14ac:dyDescent="0.3">
      <c r="B19" s="4"/>
      <c r="C19" s="42" t="s">
        <v>47</v>
      </c>
      <c r="D19" s="37"/>
      <c r="E19" s="37"/>
      <c r="F19" s="37" t="s">
        <v>10</v>
      </c>
      <c r="G19" s="37"/>
      <c r="H19" s="37"/>
      <c r="I19" s="37" t="s">
        <v>11</v>
      </c>
      <c r="J19" s="37"/>
      <c r="K19" s="31" t="s">
        <v>48</v>
      </c>
      <c r="L19" s="32" t="s">
        <v>66</v>
      </c>
      <c r="M19" s="31" t="s">
        <v>50</v>
      </c>
      <c r="N19" s="37" t="s">
        <v>63</v>
      </c>
      <c r="O19" s="38"/>
    </row>
    <row r="20" spans="2:15" ht="15.75" thickBot="1" x14ac:dyDescent="0.3">
      <c r="B20" s="27" t="s">
        <v>46</v>
      </c>
      <c r="C20" s="24" t="s">
        <v>71</v>
      </c>
      <c r="D20" s="25" t="s">
        <v>3</v>
      </c>
      <c r="E20" s="25" t="s">
        <v>4</v>
      </c>
      <c r="F20" s="25" t="s">
        <v>71</v>
      </c>
      <c r="G20" s="25" t="s">
        <v>3</v>
      </c>
      <c r="H20" s="25" t="s">
        <v>5</v>
      </c>
      <c r="I20" s="34" t="s">
        <v>6</v>
      </c>
      <c r="J20" s="34"/>
      <c r="K20" s="25" t="s">
        <v>71</v>
      </c>
      <c r="L20" s="25" t="s">
        <v>49</v>
      </c>
      <c r="M20" s="25" t="s">
        <v>51</v>
      </c>
      <c r="N20" s="25" t="s">
        <v>1</v>
      </c>
      <c r="O20" s="26" t="s">
        <v>64</v>
      </c>
    </row>
    <row r="21" spans="2:15" x14ac:dyDescent="0.25">
      <c r="B21" s="22" t="s">
        <v>68</v>
      </c>
      <c r="C21" s="16">
        <v>1</v>
      </c>
      <c r="D21" s="17">
        <v>6</v>
      </c>
      <c r="E21" s="17">
        <v>60</v>
      </c>
      <c r="F21" s="17">
        <v>20</v>
      </c>
      <c r="G21" s="17">
        <v>1</v>
      </c>
      <c r="H21" s="17">
        <v>3</v>
      </c>
      <c r="I21" s="36"/>
      <c r="J21" s="36"/>
      <c r="K21" s="17"/>
      <c r="L21" s="17"/>
      <c r="M21" s="17"/>
      <c r="N21" s="28">
        <f>IF(ISBLANK(L21),(C21+D21+E21+F21+G21+H21+I21+K21)*10,L21/0.036)*IF(ISBLANK(M21),1,M21)</f>
        <v>910</v>
      </c>
      <c r="O21" s="29">
        <f>N21*0.036</f>
        <v>32.76</v>
      </c>
    </row>
    <row r="22" spans="2:15" x14ac:dyDescent="0.25">
      <c r="B22" s="22" t="s">
        <v>54</v>
      </c>
      <c r="C22" s="18">
        <v>1</v>
      </c>
      <c r="D22" s="19"/>
      <c r="E22" s="19">
        <v>6</v>
      </c>
      <c r="F22" s="19">
        <v>3</v>
      </c>
      <c r="G22" s="19"/>
      <c r="H22" s="19">
        <v>6</v>
      </c>
      <c r="I22" s="35"/>
      <c r="J22" s="35"/>
      <c r="K22" s="19"/>
      <c r="L22" s="19"/>
      <c r="M22" s="19">
        <f>$C$5</f>
        <v>2</v>
      </c>
      <c r="N22" s="28">
        <f t="shared" ref="N22:N30" si="0">IF(ISBLANK(L22),(C22+D22+E22+F22+G22+H22+I22+K22)*10,L22/0.036)*IF(ISBLANK(M22),1,M22)</f>
        <v>320</v>
      </c>
      <c r="O22" s="29">
        <f t="shared" ref="O22:O30" si="1">N22*0.036</f>
        <v>11.52</v>
      </c>
    </row>
    <row r="23" spans="2:15" x14ac:dyDescent="0.25">
      <c r="B23" s="22" t="s">
        <v>55</v>
      </c>
      <c r="C23" s="18">
        <v>3</v>
      </c>
      <c r="D23" s="19"/>
      <c r="E23" s="19"/>
      <c r="F23" s="19"/>
      <c r="G23" s="19"/>
      <c r="H23" s="19"/>
      <c r="I23" s="35"/>
      <c r="J23" s="35"/>
      <c r="K23" s="19"/>
      <c r="L23" s="19"/>
      <c r="M23" s="19">
        <f t="shared" ref="M23:M24" si="2">$C$5</f>
        <v>2</v>
      </c>
      <c r="N23" s="28">
        <f t="shared" si="0"/>
        <v>60</v>
      </c>
      <c r="O23" s="29">
        <f t="shared" si="1"/>
        <v>2.1599999999999997</v>
      </c>
    </row>
    <row r="24" spans="2:15" x14ac:dyDescent="0.25">
      <c r="B24" s="22" t="s">
        <v>56</v>
      </c>
      <c r="C24" s="18"/>
      <c r="D24" s="19"/>
      <c r="E24" s="19"/>
      <c r="F24" s="19"/>
      <c r="G24" s="19"/>
      <c r="H24" s="19"/>
      <c r="I24" s="35"/>
      <c r="J24" s="35"/>
      <c r="K24" s="19">
        <v>3</v>
      </c>
      <c r="L24" s="19">
        <v>9</v>
      </c>
      <c r="M24" s="19">
        <f t="shared" si="2"/>
        <v>2</v>
      </c>
      <c r="N24" s="28">
        <f t="shared" si="0"/>
        <v>500.00000000000006</v>
      </c>
      <c r="O24" s="29">
        <f t="shared" si="1"/>
        <v>18</v>
      </c>
    </row>
    <row r="25" spans="2:15" x14ac:dyDescent="0.25">
      <c r="B25" s="22" t="s">
        <v>57</v>
      </c>
      <c r="C25" s="18">
        <v>1</v>
      </c>
      <c r="D25" s="19">
        <v>3</v>
      </c>
      <c r="E25" s="19">
        <v>60</v>
      </c>
      <c r="F25" s="19">
        <v>1</v>
      </c>
      <c r="G25" s="19">
        <v>6</v>
      </c>
      <c r="H25" s="19">
        <v>1</v>
      </c>
      <c r="I25" s="35"/>
      <c r="J25" s="35"/>
      <c r="K25" s="19"/>
      <c r="L25" s="19"/>
      <c r="M25" s="19"/>
      <c r="N25" s="28">
        <f t="shared" si="0"/>
        <v>720</v>
      </c>
      <c r="O25" s="29">
        <f t="shared" si="1"/>
        <v>25.919999999999998</v>
      </c>
    </row>
    <row r="26" spans="2:15" x14ac:dyDescent="0.25">
      <c r="B26" s="22" t="s">
        <v>58</v>
      </c>
      <c r="C26" s="18">
        <v>1</v>
      </c>
      <c r="D26" s="19">
        <v>3</v>
      </c>
      <c r="E26" s="19">
        <v>60</v>
      </c>
      <c r="F26" s="19">
        <v>20</v>
      </c>
      <c r="G26" s="19">
        <v>3</v>
      </c>
      <c r="H26" s="19">
        <v>3</v>
      </c>
      <c r="I26" s="35"/>
      <c r="J26" s="35"/>
      <c r="K26" s="19">
        <v>6</v>
      </c>
      <c r="L26" s="19"/>
      <c r="M26" s="19"/>
      <c r="N26" s="28">
        <f t="shared" si="0"/>
        <v>960</v>
      </c>
      <c r="O26" s="29">
        <f t="shared" si="1"/>
        <v>34.559999999999995</v>
      </c>
    </row>
    <row r="27" spans="2:15" x14ac:dyDescent="0.25">
      <c r="B27" s="22" t="s">
        <v>59</v>
      </c>
      <c r="C27" s="18"/>
      <c r="D27" s="19"/>
      <c r="E27" s="19"/>
      <c r="F27" s="19"/>
      <c r="G27" s="19"/>
      <c r="H27" s="19"/>
      <c r="I27" s="35"/>
      <c r="J27" s="35"/>
      <c r="K27" s="19"/>
      <c r="L27" s="19"/>
      <c r="M27" s="11"/>
      <c r="N27" s="28">
        <f>IF(ISBLANK(L27),(C27+D27+E27+F27+G27+H27+I27+K27)*10,L27/0.036)*IF(ISBLANK(M28),1,M28)</f>
        <v>0</v>
      </c>
      <c r="O27" s="29">
        <f t="shared" si="1"/>
        <v>0</v>
      </c>
    </row>
    <row r="28" spans="2:15" x14ac:dyDescent="0.25">
      <c r="B28" s="22" t="s">
        <v>60</v>
      </c>
      <c r="C28" s="18">
        <v>1</v>
      </c>
      <c r="D28" s="19"/>
      <c r="E28" s="19">
        <v>1</v>
      </c>
      <c r="F28" s="19">
        <v>1</v>
      </c>
      <c r="G28" s="19"/>
      <c r="H28" s="19">
        <v>1</v>
      </c>
      <c r="I28" s="35">
        <v>16</v>
      </c>
      <c r="J28" s="35"/>
      <c r="K28" s="19"/>
      <c r="L28" s="19"/>
      <c r="M28" s="19">
        <f>IF($C$9&gt;0,$C$5/$C$9,0)</f>
        <v>0.4</v>
      </c>
      <c r="N28" s="28">
        <f>IF(ISBLANK(L28),(C28+D28+E28+F28+G28+H28+I28+K28)*10,L28/0.036)*IF(ISBLANK(M29),1,M29)</f>
        <v>160</v>
      </c>
      <c r="O28" s="29">
        <f t="shared" si="1"/>
        <v>5.76</v>
      </c>
    </row>
    <row r="29" spans="2:15" x14ac:dyDescent="0.25">
      <c r="B29" s="22" t="s">
        <v>61</v>
      </c>
      <c r="C29" s="18">
        <v>1</v>
      </c>
      <c r="D29" s="19"/>
      <c r="E29" s="19">
        <v>1</v>
      </c>
      <c r="F29" s="19">
        <v>1</v>
      </c>
      <c r="G29" s="19"/>
      <c r="H29" s="19">
        <v>1</v>
      </c>
      <c r="I29" s="35">
        <v>16</v>
      </c>
      <c r="J29" s="35"/>
      <c r="K29" s="19"/>
      <c r="L29" s="19"/>
      <c r="M29" s="19">
        <f>IF($C$9&gt;0,($C$5+2)/$C$9,0)</f>
        <v>0.8</v>
      </c>
      <c r="N29" s="28">
        <f>IF(ISBLANK(L29),(C29+D29+E29+F29+G29+H29+I29+K29)*10,L29/0.036)*IF(ISBLANK(M30),1,M30)</f>
        <v>40</v>
      </c>
      <c r="O29" s="29">
        <f t="shared" ref="O29" si="3">N29*0.036</f>
        <v>1.44</v>
      </c>
    </row>
    <row r="30" spans="2:15" ht="15.75" thickBot="1" x14ac:dyDescent="0.3">
      <c r="B30" s="23" t="s">
        <v>62</v>
      </c>
      <c r="C30" s="20">
        <v>1</v>
      </c>
      <c r="D30" s="21"/>
      <c r="E30" s="21"/>
      <c r="F30" s="21">
        <v>3</v>
      </c>
      <c r="G30" s="21"/>
      <c r="H30" s="21">
        <v>1</v>
      </c>
      <c r="I30" s="33">
        <v>10</v>
      </c>
      <c r="J30" s="33"/>
      <c r="K30" s="21">
        <v>6</v>
      </c>
      <c r="L30" s="21"/>
      <c r="M30" s="19">
        <f>IF($C$9&gt;0,($C$8)/$C$9,0)</f>
        <v>0.2</v>
      </c>
      <c r="N30" s="28">
        <f t="shared" si="0"/>
        <v>42</v>
      </c>
      <c r="O30" s="29">
        <f t="shared" si="1"/>
        <v>1.5119999999999998</v>
      </c>
    </row>
    <row r="34" spans="14:14" x14ac:dyDescent="0.25">
      <c r="N34" s="30">
        <f>SUM(N21:N30)</f>
        <v>3712</v>
      </c>
    </row>
  </sheetData>
  <dataConsolidate/>
  <mergeCells count="24">
    <mergeCell ref="N19:O19"/>
    <mergeCell ref="C1:F1"/>
    <mergeCell ref="G1:J1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2:N2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</mergeCells>
  <dataValidations count="2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</dataValidations>
  <pageMargins left="0.7" right="0.7" top="0.75" bottom="0.75" header="0.3" footer="0.3"/>
  <pageSetup paperSize="9" scale="66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abaque!$B$6:$B$12</xm:f>
          </x14:formula1>
          <xm:sqref>C21:C30</xm:sqref>
        </x14:dataValidation>
        <x14:dataValidation type="list" allowBlank="1" showInputMessage="1" showErrorMessage="1">
          <x14:formula1>
            <xm:f>abaque!$B$6:$B$12</xm:f>
          </x14:formula1>
          <xm:sqref>E21:F30</xm:sqref>
        </x14:dataValidation>
        <x14:dataValidation type="list" allowBlank="1" showInputMessage="1" showErrorMessage="1">
          <x14:formula1>
            <xm:f>abaque!$B$6:$B$12</xm:f>
          </x14:formula1>
          <xm:sqref>K21:K30</xm:sqref>
        </x14:dataValidation>
        <x14:dataValidation type="list" allowBlank="1" showInputMessage="1" showErrorMessage="1">
          <x14:formula1>
            <xm:f>abaque!$B$6:$B$11</xm:f>
          </x14:formula1>
          <xm:sqref>D21:D30</xm:sqref>
        </x14:dataValidation>
        <x14:dataValidation type="list" allowBlank="1" showInputMessage="1" showErrorMessage="1">
          <x14:formula1>
            <xm:f>abaque!$B$6:$B$11</xm:f>
          </x14:formula1>
          <xm:sqref>G21:H30</xm:sqref>
        </x14:dataValidation>
        <x14:dataValidation type="list" allowBlank="1" showInputMessage="1" showErrorMessage="1">
          <x14:formula1>
            <xm:f>abaque!$B$10:$B$12</xm:f>
          </x14:formula1>
          <xm:sqref>I21:I30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3" sqref="E23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74</v>
      </c>
      <c r="B3" t="s">
        <v>75</v>
      </c>
      <c r="C3" t="s">
        <v>76</v>
      </c>
      <c r="D3" t="s">
        <v>77</v>
      </c>
      <c r="E3" s="7" t="s">
        <v>78</v>
      </c>
      <c r="F3" t="s">
        <v>79</v>
      </c>
      <c r="G3" t="s">
        <v>80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7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52</v>
      </c>
      <c r="E6" t="s">
        <v>53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72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70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calcul</vt:lpstr>
      <vt:lpstr>abaque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2014-10-06T12:48:29Z</dcterms:created>
  <dcterms:modified xsi:type="dcterms:W3CDTF">2014-10-09T15:40:20Z</dcterms:modified>
</cp:coreProperties>
</file>