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50" windowWidth="24300" windowHeight="12015" tabRatio="352" activeTab="2"/>
  </bookViews>
  <sheets>
    <sheet name="Calcul" sheetId="1" r:id="rId1"/>
    <sheet name="Releves" sheetId="7" r:id="rId2"/>
    <sheet name="Cadences" sheetId="8" r:id="rId3"/>
    <sheet name="abaques" sheetId="3" r:id="rId4"/>
    <sheet name="Cinématique" sheetId="4" state="hidden" r:id="rId5"/>
    <sheet name="Manutention" sheetId="5" r:id="rId6"/>
    <sheet name="Retournement" sheetId="6" r:id="rId7"/>
    <sheet name="Feuil1" sheetId="9" r:id="rId8"/>
  </sheets>
  <definedNames>
    <definedName name="_xlnm.Print_Area" localSheetId="0">Calcul!$A$1:$O$30</definedName>
  </definedNames>
  <calcPr calcId="145621"/>
</workbook>
</file>

<file path=xl/calcChain.xml><?xml version="1.0" encoding="utf-8"?>
<calcChain xmlns="http://schemas.openxmlformats.org/spreadsheetml/2006/main">
  <c r="J4" i="8" l="1"/>
  <c r="H4" i="8" l="1"/>
  <c r="G4" i="8"/>
  <c r="I30" i="1"/>
  <c r="I29" i="1"/>
  <c r="I28" i="1"/>
  <c r="V63" i="6"/>
  <c r="V157" i="6"/>
  <c r="V158" i="6"/>
  <c r="V159" i="6"/>
  <c r="V160" i="6"/>
  <c r="V161" i="6"/>
  <c r="V162" i="6"/>
  <c r="V163" i="6"/>
  <c r="V164" i="6"/>
  <c r="V165" i="6"/>
  <c r="V166" i="6"/>
  <c r="V167" i="6"/>
  <c r="V168" i="6"/>
  <c r="V169" i="6"/>
  <c r="V170" i="6"/>
  <c r="V171" i="6"/>
  <c r="V172" i="6"/>
  <c r="V173" i="6"/>
  <c r="V174" i="6"/>
  <c r="V175" i="6"/>
  <c r="V176" i="6"/>
  <c r="V177" i="6"/>
  <c r="V178" i="6"/>
  <c r="V179" i="6"/>
  <c r="V180" i="6"/>
  <c r="V181" i="6"/>
  <c r="V182" i="6"/>
  <c r="V183" i="6"/>
  <c r="V184" i="6"/>
  <c r="V185" i="6"/>
  <c r="V186" i="6"/>
  <c r="V187" i="6"/>
  <c r="V188" i="6"/>
  <c r="V189" i="6"/>
  <c r="V190" i="6"/>
  <c r="V191" i="6"/>
  <c r="V192" i="6"/>
  <c r="V193" i="6"/>
  <c r="V194" i="6"/>
  <c r="V195" i="6"/>
  <c r="V196" i="6"/>
  <c r="V197" i="6"/>
  <c r="V198" i="6"/>
  <c r="V199" i="6"/>
  <c r="V200" i="6"/>
  <c r="V201" i="6"/>
  <c r="V202" i="6"/>
  <c r="V203" i="6"/>
  <c r="V204" i="6"/>
  <c r="V205" i="6"/>
  <c r="V206" i="6"/>
  <c r="V207" i="6"/>
  <c r="V208" i="6"/>
  <c r="V209" i="6"/>
  <c r="V210" i="6"/>
  <c r="V211" i="6"/>
  <c r="V212" i="6"/>
  <c r="V213" i="6"/>
  <c r="V214" i="6"/>
  <c r="V215" i="6"/>
  <c r="V216" i="6"/>
  <c r="V217" i="6"/>
  <c r="V218" i="6"/>
  <c r="V219" i="6"/>
  <c r="V220" i="6"/>
  <c r="V221" i="6"/>
  <c r="V222" i="6"/>
  <c r="V223" i="6"/>
  <c r="V224" i="6"/>
  <c r="V225" i="6"/>
  <c r="V226" i="6"/>
  <c r="V227" i="6"/>
  <c r="V228" i="6"/>
  <c r="V229" i="6"/>
  <c r="V230" i="6"/>
  <c r="V231" i="6"/>
  <c r="V232" i="6"/>
  <c r="V233" i="6"/>
  <c r="V234" i="6"/>
  <c r="V235" i="6"/>
  <c r="V236" i="6"/>
  <c r="V237" i="6"/>
  <c r="V238" i="6"/>
  <c r="V239" i="6"/>
  <c r="V240" i="6"/>
  <c r="V241" i="6"/>
  <c r="V242" i="6"/>
  <c r="V243" i="6"/>
  <c r="V244" i="6"/>
  <c r="V245" i="6"/>
  <c r="V246" i="6"/>
  <c r="V247" i="6"/>
  <c r="V248" i="6"/>
  <c r="V249" i="6"/>
  <c r="V250" i="6"/>
  <c r="V251" i="6"/>
  <c r="V252" i="6"/>
  <c r="V253" i="6"/>
  <c r="V254" i="6"/>
  <c r="V255" i="6"/>
  <c r="V256" i="6"/>
  <c r="V257" i="6"/>
  <c r="V258" i="6"/>
  <c r="V259" i="6"/>
  <c r="V260" i="6"/>
  <c r="V261" i="6"/>
  <c r="V262" i="6"/>
  <c r="V263" i="6"/>
  <c r="V264" i="6"/>
  <c r="V265" i="6"/>
  <c r="V266" i="6"/>
  <c r="V267" i="6"/>
  <c r="V268" i="6"/>
  <c r="V269" i="6"/>
  <c r="V270" i="6"/>
  <c r="V271" i="6"/>
  <c r="V272" i="6"/>
  <c r="V273" i="6"/>
  <c r="V274" i="6"/>
  <c r="V275" i="6"/>
  <c r="V276" i="6"/>
  <c r="V277" i="6"/>
  <c r="V278" i="6"/>
  <c r="V279" i="6"/>
  <c r="V280" i="6"/>
  <c r="V281" i="6"/>
  <c r="V282" i="6"/>
  <c r="V283" i="6"/>
  <c r="V284" i="6"/>
  <c r="V285" i="6"/>
  <c r="V286" i="6"/>
  <c r="V287" i="6"/>
  <c r="V288" i="6"/>
  <c r="V289" i="6"/>
  <c r="V290" i="6"/>
  <c r="V291" i="6"/>
  <c r="V292" i="6"/>
  <c r="V293" i="6"/>
  <c r="V294" i="6"/>
  <c r="V295" i="6"/>
  <c r="V296" i="6"/>
  <c r="V297" i="6"/>
  <c r="V298" i="6"/>
  <c r="V299" i="6"/>
  <c r="V300" i="6"/>
  <c r="V301" i="6"/>
  <c r="V302" i="6"/>
  <c r="V303" i="6"/>
  <c r="V304" i="6"/>
  <c r="V305" i="6"/>
  <c r="V306" i="6"/>
  <c r="V307" i="6"/>
  <c r="V308" i="6"/>
  <c r="V309" i="6"/>
  <c r="V310" i="6"/>
  <c r="V311" i="6"/>
  <c r="V312" i="6"/>
  <c r="V313" i="6"/>
  <c r="V314" i="6"/>
  <c r="V315" i="6"/>
  <c r="V316" i="6"/>
  <c r="V317" i="6"/>
  <c r="V318" i="6"/>
  <c r="V319" i="6"/>
  <c r="V320" i="6"/>
  <c r="V321" i="6"/>
  <c r="V322" i="6"/>
  <c r="V323" i="6"/>
  <c r="V324" i="6"/>
  <c r="V325" i="6"/>
  <c r="V326" i="6"/>
  <c r="V327" i="6"/>
  <c r="V328" i="6"/>
  <c r="V329" i="6"/>
  <c r="V330" i="6"/>
  <c r="V331" i="6"/>
  <c r="V332" i="6"/>
  <c r="V333" i="6"/>
  <c r="V334" i="6"/>
  <c r="V335" i="6"/>
  <c r="V336" i="6"/>
  <c r="V337" i="6"/>
  <c r="V338" i="6"/>
  <c r="V339" i="6"/>
  <c r="V340" i="6"/>
  <c r="V341" i="6"/>
  <c r="V342" i="6"/>
  <c r="V343" i="6"/>
  <c r="V344" i="6"/>
  <c r="V345" i="6"/>
  <c r="V346" i="6"/>
  <c r="V347" i="6"/>
  <c r="V348" i="6"/>
  <c r="V349" i="6"/>
  <c r="V350" i="6"/>
  <c r="V351" i="6"/>
  <c r="V352" i="6"/>
  <c r="V353" i="6"/>
  <c r="V354" i="6"/>
  <c r="V355" i="6"/>
  <c r="V356" i="6"/>
  <c r="V357" i="6"/>
  <c r="V358" i="6"/>
  <c r="V359" i="6"/>
  <c r="V360" i="6"/>
  <c r="V361" i="6"/>
  <c r="V362" i="6"/>
  <c r="V363" i="6"/>
  <c r="V364" i="6"/>
  <c r="V365" i="6"/>
  <c r="V366" i="6"/>
  <c r="V367" i="6"/>
  <c r="V368" i="6"/>
  <c r="V369" i="6"/>
  <c r="V370" i="6"/>
  <c r="V371" i="6"/>
  <c r="V372" i="6"/>
  <c r="V373" i="6"/>
  <c r="V374" i="6"/>
  <c r="V375" i="6"/>
  <c r="V376" i="6"/>
  <c r="V377" i="6"/>
  <c r="V378" i="6"/>
  <c r="V379" i="6"/>
  <c r="V380" i="6"/>
  <c r="V381" i="6"/>
  <c r="V382" i="6"/>
  <c r="V383" i="6"/>
  <c r="V384" i="6"/>
  <c r="V385" i="6"/>
  <c r="V386" i="6"/>
  <c r="V387" i="6"/>
  <c r="V388" i="6"/>
  <c r="V389" i="6"/>
  <c r="V390" i="6"/>
  <c r="V391" i="6"/>
  <c r="V392" i="6"/>
  <c r="V393" i="6"/>
  <c r="V394" i="6"/>
  <c r="V395" i="6"/>
  <c r="V396" i="6"/>
  <c r="V397" i="6"/>
  <c r="V398" i="6"/>
  <c r="V399" i="6"/>
  <c r="V400" i="6"/>
  <c r="V401" i="6"/>
  <c r="V402" i="6"/>
  <c r="V403" i="6"/>
  <c r="V404" i="6"/>
  <c r="V405" i="6"/>
  <c r="V406" i="6"/>
  <c r="V407" i="6"/>
  <c r="V408" i="6"/>
  <c r="V409" i="6"/>
  <c r="V410" i="6"/>
  <c r="V411" i="6"/>
  <c r="V412" i="6"/>
  <c r="V413" i="6"/>
  <c r="V414" i="6"/>
  <c r="V415" i="6"/>
  <c r="V416" i="6"/>
  <c r="V417" i="6"/>
  <c r="V418" i="6"/>
  <c r="V419" i="6"/>
  <c r="V420" i="6"/>
  <c r="V421" i="6"/>
  <c r="V422" i="6"/>
  <c r="V423" i="6"/>
  <c r="V424" i="6"/>
  <c r="V425" i="6"/>
  <c r="V426" i="6"/>
  <c r="V427" i="6"/>
  <c r="V428" i="6"/>
  <c r="V429" i="6"/>
  <c r="V430" i="6"/>
  <c r="V431" i="6"/>
  <c r="V432" i="6"/>
  <c r="V433" i="6"/>
  <c r="V434" i="6"/>
  <c r="V435" i="6"/>
  <c r="V436" i="6"/>
  <c r="V437" i="6"/>
  <c r="V438" i="6"/>
  <c r="V439" i="6"/>
  <c r="V440" i="6"/>
  <c r="V441" i="6"/>
  <c r="V442" i="6"/>
  <c r="V443" i="6"/>
  <c r="V444" i="6"/>
  <c r="V445" i="6"/>
  <c r="V446" i="6"/>
  <c r="V447" i="6"/>
  <c r="V448" i="6"/>
  <c r="V449" i="6"/>
  <c r="V450" i="6"/>
  <c r="V451" i="6"/>
  <c r="V452" i="6"/>
  <c r="V453" i="6"/>
  <c r="V454" i="6"/>
  <c r="V455" i="6"/>
  <c r="V456" i="6"/>
  <c r="V457" i="6"/>
  <c r="V458" i="6"/>
  <c r="V459" i="6"/>
  <c r="V460" i="6"/>
  <c r="V461" i="6"/>
  <c r="V462" i="6"/>
  <c r="V463" i="6"/>
  <c r="V464" i="6"/>
  <c r="V465" i="6"/>
  <c r="V466" i="6"/>
  <c r="V467" i="6"/>
  <c r="V468" i="6"/>
  <c r="V469" i="6"/>
  <c r="V470" i="6"/>
  <c r="V471" i="6"/>
  <c r="V472" i="6"/>
  <c r="V473" i="6"/>
  <c r="V474" i="6"/>
  <c r="V475" i="6"/>
  <c r="V476" i="6"/>
  <c r="V477" i="6"/>
  <c r="V478" i="6"/>
  <c r="V479" i="6"/>
  <c r="V480" i="6"/>
  <c r="V481" i="6"/>
  <c r="V482" i="6"/>
  <c r="V483" i="6"/>
  <c r="V484" i="6"/>
  <c r="V485" i="6"/>
  <c r="V486" i="6"/>
  <c r="V487" i="6"/>
  <c r="V488" i="6"/>
  <c r="V489" i="6"/>
  <c r="V490" i="6"/>
  <c r="V491" i="6"/>
  <c r="V492" i="6"/>
  <c r="V493" i="6"/>
  <c r="V494" i="6"/>
  <c r="V495" i="6"/>
  <c r="V496" i="6"/>
  <c r="V497" i="6"/>
  <c r="V498" i="6"/>
  <c r="V499" i="6"/>
  <c r="V500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49" i="6"/>
  <c r="V150" i="6"/>
  <c r="V151" i="6"/>
  <c r="V152" i="6"/>
  <c r="V153" i="6"/>
  <c r="V154" i="6"/>
  <c r="V155" i="6"/>
  <c r="V156" i="6"/>
  <c r="V2" i="6"/>
  <c r="V3" i="6"/>
  <c r="V4" i="6"/>
  <c r="V5" i="6"/>
  <c r="V6" i="6"/>
  <c r="V7" i="6"/>
  <c r="V1" i="6"/>
  <c r="I4" i="8" l="1"/>
  <c r="K4" i="8" s="1"/>
  <c r="O3" i="5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2" i="6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2" i="6"/>
  <c r="D1" i="9"/>
  <c r="G3" i="8" l="1"/>
  <c r="H3" i="8"/>
  <c r="I3" i="8" l="1"/>
  <c r="L42" i="8"/>
  <c r="K42" i="8"/>
  <c r="I42" i="8"/>
  <c r="L41" i="8"/>
  <c r="K41" i="8"/>
  <c r="I41" i="8"/>
  <c r="L40" i="8"/>
  <c r="K40" i="8"/>
  <c r="I40" i="8"/>
  <c r="L39" i="8"/>
  <c r="K39" i="8"/>
  <c r="I39" i="8"/>
  <c r="L38" i="8"/>
  <c r="K38" i="8"/>
  <c r="I38" i="8"/>
  <c r="L37" i="8"/>
  <c r="K37" i="8"/>
  <c r="I37" i="8"/>
  <c r="L36" i="8"/>
  <c r="K36" i="8"/>
  <c r="I36" i="8"/>
  <c r="L35" i="8"/>
  <c r="K35" i="8"/>
  <c r="I35" i="8"/>
  <c r="L34" i="8"/>
  <c r="K34" i="8"/>
  <c r="I34" i="8"/>
  <c r="L33" i="8"/>
  <c r="K33" i="8"/>
  <c r="I33" i="8"/>
  <c r="L32" i="8"/>
  <c r="K32" i="8"/>
  <c r="I32" i="8"/>
  <c r="L31" i="8"/>
  <c r="K31" i="8"/>
  <c r="I31" i="8"/>
  <c r="L30" i="8"/>
  <c r="K30" i="8"/>
  <c r="I30" i="8"/>
  <c r="L29" i="8"/>
  <c r="K29" i="8"/>
  <c r="I29" i="8"/>
  <c r="L28" i="8"/>
  <c r="K28" i="8"/>
  <c r="I28" i="8"/>
  <c r="L27" i="8"/>
  <c r="K27" i="8"/>
  <c r="I27" i="8"/>
  <c r="L26" i="8"/>
  <c r="K26" i="8"/>
  <c r="I26" i="8"/>
  <c r="L25" i="8"/>
  <c r="K25" i="8"/>
  <c r="I25" i="8"/>
  <c r="L24" i="8"/>
  <c r="K24" i="8"/>
  <c r="I24" i="8"/>
  <c r="L23" i="8"/>
  <c r="K23" i="8"/>
  <c r="I23" i="8"/>
  <c r="L22" i="8"/>
  <c r="K22" i="8"/>
  <c r="I22" i="8"/>
  <c r="L21" i="8"/>
  <c r="K21" i="8"/>
  <c r="I21" i="8"/>
  <c r="L20" i="8"/>
  <c r="K20" i="8"/>
  <c r="I20" i="8"/>
  <c r="L19" i="8"/>
  <c r="K19" i="8"/>
  <c r="I19" i="8"/>
  <c r="L18" i="8"/>
  <c r="K18" i="8"/>
  <c r="I18" i="8"/>
  <c r="L17" i="8"/>
  <c r="K17" i="8"/>
  <c r="I17" i="8"/>
  <c r="L16" i="8"/>
  <c r="K16" i="8"/>
  <c r="I16" i="8"/>
  <c r="L15" i="8"/>
  <c r="K15" i="8"/>
  <c r="I15" i="8"/>
  <c r="L14" i="8"/>
  <c r="K14" i="8"/>
  <c r="I14" i="8"/>
  <c r="L13" i="8"/>
  <c r="K13" i="8"/>
  <c r="I13" i="8"/>
  <c r="L12" i="8"/>
  <c r="K12" i="8"/>
  <c r="I12" i="8"/>
  <c r="L11" i="8"/>
  <c r="K11" i="8"/>
  <c r="I11" i="8"/>
  <c r="L10" i="8"/>
  <c r="K10" i="8"/>
  <c r="I10" i="8"/>
  <c r="L9" i="8"/>
  <c r="K9" i="8"/>
  <c r="I9" i="8"/>
  <c r="L8" i="8"/>
  <c r="K8" i="8"/>
  <c r="I8" i="8"/>
  <c r="L7" i="8"/>
  <c r="K7" i="8"/>
  <c r="I7" i="8"/>
  <c r="L6" i="8"/>
  <c r="K6" i="8"/>
  <c r="I6" i="8"/>
  <c r="L5" i="8"/>
  <c r="K5" i="8"/>
  <c r="I5" i="8"/>
  <c r="Z1" i="1" l="1"/>
  <c r="C28" i="1" l="1"/>
  <c r="D28" i="1"/>
  <c r="E28" i="1"/>
  <c r="E30" i="1"/>
  <c r="E29" i="1"/>
  <c r="C27" i="1"/>
  <c r="F27" i="1"/>
  <c r="G27" i="1"/>
  <c r="H27" i="1"/>
  <c r="H30" i="1"/>
  <c r="F30" i="1"/>
  <c r="H26" i="1"/>
  <c r="G26" i="1"/>
  <c r="D26" i="1"/>
  <c r="C26" i="1"/>
  <c r="K2" i="6"/>
  <c r="K7" i="6" s="1"/>
  <c r="J2" i="6"/>
  <c r="M2" i="6" s="1"/>
  <c r="M25" i="1"/>
  <c r="G25" i="1" s="1"/>
  <c r="E25" i="1" l="1"/>
  <c r="L7" i="6"/>
  <c r="K3" i="6"/>
  <c r="K4" i="6" s="1"/>
  <c r="L2" i="6"/>
  <c r="F25" i="1"/>
  <c r="H25" i="1"/>
  <c r="C25" i="1"/>
  <c r="D25" i="1"/>
  <c r="J3" i="6"/>
  <c r="J4" i="6" s="1"/>
  <c r="O22" i="6" l="1"/>
  <c r="P22" i="6" s="1"/>
  <c r="Q22" i="6" s="1"/>
  <c r="R22" i="6" s="1"/>
  <c r="J6" i="6"/>
  <c r="K6" i="6" s="1"/>
  <c r="O26" i="6" l="1"/>
  <c r="K2" i="5"/>
  <c r="J10" i="5" s="1"/>
  <c r="K10" i="5" s="1"/>
  <c r="J2" i="5"/>
  <c r="K11" i="5" l="1"/>
  <c r="F21" i="1" s="1"/>
  <c r="L10" i="5"/>
  <c r="E21" i="1"/>
  <c r="K3" i="5"/>
  <c r="K4" i="5" s="1"/>
  <c r="J3" i="5"/>
  <c r="J4" i="5" s="1"/>
  <c r="M30" i="1"/>
  <c r="N29" i="1" s="1"/>
  <c r="O29" i="1" s="1"/>
  <c r="M29" i="1"/>
  <c r="M28" i="1"/>
  <c r="J6" i="5" l="1"/>
  <c r="K6" i="5" s="1"/>
  <c r="K7" i="5" s="1"/>
  <c r="M23" i="1"/>
  <c r="M24" i="1"/>
  <c r="N24" i="1" s="1"/>
  <c r="M22" i="1"/>
  <c r="E27" i="1" l="1"/>
  <c r="F26" i="1"/>
  <c r="A14" i="3"/>
  <c r="A13" i="3"/>
  <c r="E26" i="1" l="1"/>
  <c r="N26" i="1" s="1"/>
  <c r="O26" i="1" s="1"/>
  <c r="N27" i="1"/>
  <c r="O27" i="1" s="1"/>
  <c r="N22" i="1"/>
  <c r="O22" i="1" s="1"/>
  <c r="N23" i="1"/>
  <c r="O23" i="1" s="1"/>
  <c r="O24" i="1"/>
  <c r="N25" i="1"/>
  <c r="O25" i="1" s="1"/>
  <c r="N28" i="1"/>
  <c r="O28" i="1" s="1"/>
  <c r="N30" i="1"/>
  <c r="O30" i="1" s="1"/>
  <c r="N21" i="1"/>
  <c r="O21" i="1" s="1"/>
  <c r="A12" i="3"/>
  <c r="A11" i="3"/>
  <c r="A10" i="3"/>
  <c r="A9" i="3"/>
  <c r="A8" i="3"/>
  <c r="A7" i="3"/>
  <c r="A6" i="3"/>
  <c r="O1" i="1" l="1"/>
  <c r="O3" i="1" s="1"/>
  <c r="J3" i="8" l="1"/>
  <c r="L4" i="8"/>
  <c r="K3" i="8"/>
  <c r="L3" i="8" s="1"/>
  <c r="O2" i="1"/>
</calcChain>
</file>

<file path=xl/comments1.xml><?xml version="1.0" encoding="utf-8"?>
<comments xmlns="http://schemas.openxmlformats.org/spreadsheetml/2006/main">
  <authors>
    <author>Jean-Christophe Ambert</author>
  </authors>
  <commentList>
    <comment ref="C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0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0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0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0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0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0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sharedStrings.xml><?xml version="1.0" encoding="utf-8"?>
<sst xmlns="http://schemas.openxmlformats.org/spreadsheetml/2006/main" count="195" uniqueCount="155">
  <si>
    <t>Seconde</t>
  </si>
  <si>
    <t>TMU</t>
  </si>
  <si>
    <t>A</t>
  </si>
  <si>
    <t>B</t>
  </si>
  <si>
    <t>G</t>
  </si>
  <si>
    <t>P</t>
  </si>
  <si>
    <t>M</t>
  </si>
  <si>
    <t>Deplacement</t>
  </si>
  <si>
    <t>Mouvement corps</t>
  </si>
  <si>
    <t>Saisir</t>
  </si>
  <si>
    <t>Placer</t>
  </si>
  <si>
    <t>Mesurer</t>
  </si>
  <si>
    <t>&lt;5cm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</si>
  <si>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</si>
  <si>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</si>
  <si>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</si>
  <si>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</si>
  <si>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</si>
  <si>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</si>
  <si>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</si>
  <si>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</si>
  <si>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</si>
  <si>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</si>
  <si>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</si>
  <si>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</si>
  <si>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</si>
  <si>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</si>
  <si>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</si>
  <si>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</si>
  <si>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Gabarit pour profil</t>
  </si>
  <si>
    <t>8-10 pas</t>
  </si>
  <si>
    <t>Passer une porte, monter sur, descendre de</t>
  </si>
  <si>
    <t>&gt;50 et &lt;60Kg</t>
  </si>
  <si>
    <t>Metre/reglet/raporteur</t>
  </si>
  <si>
    <t>&gt;60 et &lt;100kg</t>
  </si>
  <si>
    <t>Pied à coulisse</t>
  </si>
  <si>
    <t>10-12 pas</t>
  </si>
  <si>
    <t>Reference</t>
  </si>
  <si>
    <t>Operation</t>
  </si>
  <si>
    <t>Pliage</t>
  </si>
  <si>
    <t>Parametres</t>
  </si>
  <si>
    <t>Nombre de plis</t>
  </si>
  <si>
    <t>Poids (Kg)</t>
  </si>
  <si>
    <t>Temps (Sec)</t>
  </si>
  <si>
    <t>Nombre de gabarit</t>
  </si>
  <si>
    <t>Nombre retournement</t>
  </si>
  <si>
    <t>Séquences</t>
  </si>
  <si>
    <t>T</t>
  </si>
  <si>
    <t>Coef</t>
  </si>
  <si>
    <t>Q</t>
  </si>
  <si>
    <t>Aucun mouvement</t>
  </si>
  <si>
    <t>Aucune prise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</si>
  <si>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</si>
  <si>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</si>
  <si>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</si>
  <si>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</si>
  <si>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</si>
  <si>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</si>
  <si>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</si>
  <si>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</si>
  <si>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</si>
  <si>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</t>
  </si>
  <si>
    <t>Secondes</t>
  </si>
  <si>
    <t>Cadence (p/h)</t>
  </si>
  <si>
    <t>Tech
 (sec)</t>
  </si>
  <si>
    <t>Freq contrôle</t>
  </si>
  <si>
    <t>Prendre pièce dans appros et poser dans vé</t>
  </si>
  <si>
    <t>&gt;40 et &lt;50Kg</t>
  </si>
  <si>
    <t>D</t>
  </si>
  <si>
    <t>Précision très importante</t>
  </si>
  <si>
    <t>Client</t>
  </si>
  <si>
    <t>Colonne1</t>
  </si>
  <si>
    <t>Colonne2</t>
  </si>
  <si>
    <t>Colonne3</t>
  </si>
  <si>
    <t>Colonne4</t>
  </si>
  <si>
    <t>Colonne5</t>
  </si>
  <si>
    <t>Colonne6</t>
  </si>
  <si>
    <t>Colonne7</t>
  </si>
  <si>
    <t>Départ de cycle</t>
  </si>
  <si>
    <t>devant contenant d'appro</t>
  </si>
  <si>
    <t>se baisser</t>
  </si>
  <si>
    <t>Poser aimant</t>
  </si>
  <si>
    <t>Lever légèrement l'aimant</t>
  </si>
  <si>
    <t>Lever l'aimant</t>
  </si>
  <si>
    <t>se déplacer vers le bati</t>
  </si>
  <si>
    <t>Poser pièce sur le vé</t>
  </si>
  <si>
    <t>Relever l'aimant</t>
  </si>
  <si>
    <t>Lacher l'aimant</t>
  </si>
  <si>
    <t>Mettre la pièce en butée</t>
  </si>
  <si>
    <t>Vérifier la mise en butée</t>
  </si>
  <si>
    <t>Mettre le pied sur la pédale</t>
  </si>
  <si>
    <t>Appuyer sur la pédale</t>
  </si>
  <si>
    <t>Attendre cycle machine</t>
  </si>
  <si>
    <t>Retenir la pièce</t>
  </si>
  <si>
    <t>Enlever pied de la pédale</t>
  </si>
  <si>
    <t>Enlever pièce du vé</t>
  </si>
  <si>
    <t>Poser la pièce sur support machine</t>
  </si>
  <si>
    <t>Prendre l'aimant</t>
  </si>
  <si>
    <t>Retourner la pièce</t>
  </si>
  <si>
    <t>Baisser l'aimant</t>
  </si>
  <si>
    <t>Désarmer l'aimant</t>
  </si>
  <si>
    <t>Se retourner</t>
  </si>
  <si>
    <t>Se déplacer vers marbre</t>
  </si>
  <si>
    <t>Prendre la pièce</t>
  </si>
  <si>
    <t>Se baisser</t>
  </si>
  <si>
    <t>Déposer la pièce</t>
  </si>
  <si>
    <t>Se relever</t>
  </si>
  <si>
    <t>Se déplacer vers "Départ cycle"</t>
  </si>
  <si>
    <t>Poser aimant sur la pièce</t>
  </si>
  <si>
    <t>Se déplacer vers contenant</t>
  </si>
  <si>
    <t>Armer l'aimant</t>
  </si>
  <si>
    <t>Engager l'aimant</t>
  </si>
  <si>
    <t>Controler</t>
  </si>
  <si>
    <t>b</t>
  </si>
  <si>
    <t>Pièce légère</t>
  </si>
  <si>
    <t>Retournement</t>
  </si>
  <si>
    <t>Contrôle</t>
  </si>
  <si>
    <t>Piece lourde</t>
  </si>
  <si>
    <t>Se deplacer vers marbre</t>
  </si>
  <si>
    <t>Prendre les moyens de contrôle</t>
  </si>
  <si>
    <t>Déposer les moyens de contrôle</t>
  </si>
  <si>
    <t>Se deplacer vers bati</t>
  </si>
  <si>
    <t>Se déplacer vers bati</t>
  </si>
  <si>
    <t>Prende</t>
  </si>
  <si>
    <t>Seq.
Suivante</t>
  </si>
  <si>
    <t>Longueur</t>
  </si>
  <si>
    <t xml:space="preserve">Longueur mm </t>
  </si>
  <si>
    <t>Poids en kg</t>
  </si>
  <si>
    <t>Lg</t>
  </si>
  <si>
    <t>Poids</t>
  </si>
  <si>
    <t>Grab</t>
  </si>
  <si>
    <t>Distance</t>
  </si>
  <si>
    <t>Temps de Retournement</t>
  </si>
  <si>
    <t>Temps de manutention</t>
  </si>
  <si>
    <t>Temps(Min,Dix)</t>
  </si>
  <si>
    <t>Recherche de la plage</t>
  </si>
  <si>
    <t>Recherche colonne/ligne</t>
  </si>
  <si>
    <t>Retournement pour conditionnement</t>
  </si>
  <si>
    <t>Operateur</t>
  </si>
  <si>
    <t>Date</t>
  </si>
  <si>
    <t>Temps cycle (sec)</t>
  </si>
  <si>
    <t>Compteur</t>
  </si>
  <si>
    <t>Fin</t>
  </si>
  <si>
    <t>Periode</t>
  </si>
  <si>
    <t>Nombre de pièce</t>
  </si>
  <si>
    <t>Ecart %</t>
  </si>
  <si>
    <t>Début</t>
  </si>
  <si>
    <t>Heure</t>
  </si>
  <si>
    <t>y connus</t>
  </si>
  <si>
    <t>x connus</t>
  </si>
  <si>
    <t>Minute</t>
  </si>
  <si>
    <t>Cadence
realisée</t>
  </si>
  <si>
    <t>Cadence
Estimée</t>
  </si>
  <si>
    <t>Ecart 
Cadence</t>
  </si>
  <si>
    <t>259046D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</si>
</sst>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€_-;\-* #,##0.00\ _€_-;_-* &quot;-&quot;??\ _€_-;_-@_-"/>
    <numFmt numFmtId="164" formatCode="0.0"/>
    <numFmt numFmtId="165" formatCode="#,##0.00_ ;[Red]\-#,##0.00\ "/>
  </numFmts>
  <fonts count="18" x14ac:knownFonts="1">
    <font>
      <sz val="11"/>
      <color theme="1"/>
      <name val="Calibri"/>
      <family val="2"/>
      <scheme val="minor"/>
    </font>
    <font>
      <sz val="10"/>
      <color theme="1"/>
      <name val="Palatino Linotype"/>
      <family val="1"/>
    </font>
    <font>
      <b/>
      <sz val="8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444444"/>
      <name val="Segoe UI"/>
      <family val="2"/>
    </font>
    <font>
      <sz val="11"/>
      <color rgb="FF444444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F3F3"/>
        <bgColor indexed="64"/>
      </patternFill>
    </fill>
  </fills>
  <borders count="3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8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99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ont="1"/>
    <xf numFmtId="0" fontId="6" fillId="0" borderId="0" xfId="0" applyFont="1"/>
    <xf numFmtId="0" fontId="7" fillId="7" borderId="16" xfId="0" applyFont="1" applyFill="1" applyBorder="1" applyAlignment="1">
      <alignment horizontal="right"/>
    </xf>
    <xf numFmtId="0" fontId="8" fillId="8" borderId="17" xfId="0" applyFont="1" applyFill="1" applyBorder="1" applyAlignment="1">
      <alignment horizontal="left"/>
    </xf>
    <xf numFmtId="0" fontId="8" fillId="9" borderId="11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2" fontId="8" fillId="9" borderId="10" xfId="0" applyNumberFormat="1" applyFont="1" applyFill="1" applyBorder="1" applyAlignment="1">
      <alignment horizontal="center"/>
    </xf>
    <xf numFmtId="2" fontId="8" fillId="9" borderId="7" xfId="0" applyNumberFormat="1" applyFont="1" applyFill="1" applyBorder="1" applyAlignment="1">
      <alignment horizontal="center"/>
    </xf>
    <xf numFmtId="2" fontId="8" fillId="9" borderId="4" xfId="0" applyNumberFormat="1" applyFont="1" applyFill="1" applyBorder="1" applyAlignment="1">
      <alignment horizontal="center"/>
    </xf>
    <xf numFmtId="2" fontId="8" fillId="9" borderId="11" xfId="0" applyNumberFormat="1" applyFont="1" applyFill="1" applyBorder="1" applyAlignment="1">
      <alignment horizontal="center"/>
    </xf>
    <xf numFmtId="2" fontId="8" fillId="9" borderId="0" xfId="0" applyNumberFormat="1" applyFont="1" applyFill="1" applyBorder="1" applyAlignment="1">
      <alignment horizontal="center"/>
    </xf>
    <xf numFmtId="2" fontId="8" fillId="8" borderId="13" xfId="0" applyNumberFormat="1" applyFont="1" applyFill="1" applyBorder="1" applyAlignment="1">
      <alignment horizontal="center"/>
    </xf>
    <xf numFmtId="2" fontId="8" fillId="8" borderId="14" xfId="0" applyNumberFormat="1" applyFont="1" applyFill="1" applyBorder="1" applyAlignment="1">
      <alignment horizontal="center"/>
    </xf>
    <xf numFmtId="0" fontId="8" fillId="8" borderId="13" xfId="0" applyNumberFormat="1" applyFont="1" applyFill="1" applyBorder="1" applyAlignment="1">
      <alignment horizontal="center"/>
    </xf>
    <xf numFmtId="164" fontId="8" fillId="8" borderId="13" xfId="0" applyNumberFormat="1" applyFont="1" applyFill="1" applyBorder="1" applyAlignment="1">
      <alignment horizontal="center"/>
    </xf>
    <xf numFmtId="164" fontId="8" fillId="8" borderId="14" xfId="0" applyNumberFormat="1" applyFont="1" applyFill="1" applyBorder="1" applyAlignment="1">
      <alignment horizontal="center"/>
    </xf>
    <xf numFmtId="164" fontId="5" fillId="3" borderId="0" xfId="2" applyNumberFormat="1" applyFont="1" applyAlignment="1" applyProtection="1"/>
    <xf numFmtId="0" fontId="3" fillId="0" borderId="0" xfId="0" applyFont="1" applyProtection="1"/>
    <xf numFmtId="0" fontId="9" fillId="2" borderId="0" xfId="1" applyFont="1" applyProtection="1"/>
    <xf numFmtId="0" fontId="9" fillId="4" borderId="0" xfId="3" applyFont="1" applyAlignment="1" applyProtection="1">
      <alignment horizontal="left"/>
      <protection locked="0"/>
    </xf>
    <xf numFmtId="0" fontId="10" fillId="0" borderId="0" xfId="0" applyFont="1" applyProtection="1"/>
    <xf numFmtId="0" fontId="5" fillId="5" borderId="0" xfId="4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2" borderId="0" xfId="1" applyFont="1" applyAlignment="1" applyProtection="1">
      <alignment wrapText="1"/>
    </xf>
    <xf numFmtId="0" fontId="3" fillId="0" borderId="15" xfId="0" applyFont="1" applyBorder="1" applyProtection="1"/>
    <xf numFmtId="0" fontId="11" fillId="2" borderId="2" xfId="1" applyFont="1" applyBorder="1" applyAlignment="1" applyProtection="1">
      <alignment vertical="center" wrapText="1"/>
    </xf>
    <xf numFmtId="0" fontId="11" fillId="2" borderId="2" xfId="1" applyFont="1" applyBorder="1" applyAlignment="1" applyProtection="1">
      <alignment vertical="center"/>
    </xf>
    <xf numFmtId="0" fontId="11" fillId="2" borderId="12" xfId="1" applyFont="1" applyBorder="1" applyProtection="1"/>
    <xf numFmtId="0" fontId="5" fillId="2" borderId="9" xfId="1" applyFont="1" applyBorder="1" applyProtection="1"/>
    <xf numFmtId="0" fontId="5" fillId="2" borderId="5" xfId="1" applyFont="1" applyBorder="1" applyProtection="1"/>
    <xf numFmtId="0" fontId="5" fillId="2" borderId="6" xfId="1" applyFont="1" applyBorder="1" applyProtection="1"/>
    <xf numFmtId="0" fontId="5" fillId="2" borderId="13" xfId="1" applyFont="1" applyBorder="1" applyProtection="1"/>
    <xf numFmtId="0" fontId="9" fillId="6" borderId="1" xfId="5" applyFont="1" applyBorder="1" applyProtection="1"/>
    <xf numFmtId="0" fontId="9" fillId="6" borderId="2" xfId="5" applyFont="1" applyBorder="1" applyProtection="1"/>
    <xf numFmtId="2" fontId="9" fillId="6" borderId="2" xfId="5" applyNumberFormat="1" applyFont="1" applyBorder="1" applyProtection="1"/>
    <xf numFmtId="2" fontId="9" fillId="6" borderId="3" xfId="5" applyNumberFormat="1" applyFont="1" applyBorder="1" applyProtection="1"/>
    <xf numFmtId="0" fontId="9" fillId="6" borderId="22" xfId="5" applyFont="1" applyBorder="1" applyProtection="1"/>
    <xf numFmtId="0" fontId="9" fillId="6" borderId="7" xfId="5" applyFont="1" applyBorder="1" applyProtection="1"/>
    <xf numFmtId="0" fontId="9" fillId="6" borderId="4" xfId="5" applyFont="1" applyBorder="1" applyProtection="1"/>
    <xf numFmtId="2" fontId="9" fillId="6" borderId="7" xfId="5" applyNumberFormat="1" applyFont="1" applyBorder="1" applyProtection="1"/>
    <xf numFmtId="2" fontId="9" fillId="6" borderId="8" xfId="5" applyNumberFormat="1" applyFont="1" applyBorder="1" applyProtection="1"/>
    <xf numFmtId="0" fontId="9" fillId="6" borderId="0" xfId="5" applyFont="1" applyBorder="1" applyProtection="1"/>
    <xf numFmtId="0" fontId="5" fillId="2" borderId="14" xfId="1" applyFont="1" applyBorder="1" applyProtection="1"/>
    <xf numFmtId="0" fontId="9" fillId="6" borderId="23" xfId="5" applyFont="1" applyBorder="1" applyProtection="1"/>
    <xf numFmtId="0" fontId="9" fillId="6" borderId="5" xfId="5" applyFont="1" applyBorder="1" applyProtection="1"/>
    <xf numFmtId="2" fontId="9" fillId="6" borderId="23" xfId="5" applyNumberFormat="1" applyFont="1" applyBorder="1" applyProtection="1"/>
    <xf numFmtId="2" fontId="9" fillId="6" borderId="25" xfId="5" applyNumberFormat="1" applyFont="1" applyBorder="1" applyProtection="1"/>
    <xf numFmtId="0" fontId="12" fillId="0" borderId="0" xfId="0" applyFont="1" applyProtection="1"/>
    <xf numFmtId="14" fontId="0" fillId="0" borderId="0" xfId="0" applyNumberFormat="1"/>
    <xf numFmtId="20" fontId="0" fillId="0" borderId="0" xfId="0" applyNumberFormat="1"/>
    <xf numFmtId="1" fontId="0" fillId="0" borderId="0" xfId="0" applyNumberFormat="1"/>
    <xf numFmtId="165" fontId="0" fillId="0" borderId="0" xfId="0" applyNumberFormat="1"/>
    <xf numFmtId="9" fontId="0" fillId="0" borderId="0" xfId="6" applyFont="1"/>
    <xf numFmtId="2" fontId="0" fillId="0" borderId="0" xfId="0" applyNumberFormat="1"/>
    <xf numFmtId="0" fontId="5" fillId="2" borderId="5" xfId="1" applyFont="1" applyBorder="1"/>
    <xf numFmtId="0" fontId="15" fillId="0" borderId="0" xfId="0" applyFont="1" applyAlignment="1">
      <alignment horizontal="center" vertical="center" readingOrder="1"/>
    </xf>
    <xf numFmtId="0" fontId="17" fillId="10" borderId="27" xfId="0" applyFont="1" applyFill="1" applyBorder="1" applyAlignment="1">
      <alignment vertical="top" wrapText="1"/>
    </xf>
    <xf numFmtId="0" fontId="16" fillId="11" borderId="28" xfId="0" applyFont="1" applyFill="1" applyBorder="1" applyAlignment="1">
      <alignment vertical="top" wrapText="1"/>
    </xf>
    <xf numFmtId="0" fontId="16" fillId="10" borderId="27" xfId="0" applyFont="1" applyFill="1" applyBorder="1" applyAlignment="1">
      <alignment vertical="top" wrapText="1"/>
    </xf>
    <xf numFmtId="0" fontId="16" fillId="0" borderId="0" xfId="0" applyFont="1"/>
    <xf numFmtId="43" fontId="0" fillId="0" borderId="0" xfId="7" applyFont="1"/>
    <xf numFmtId="2" fontId="5" fillId="3" borderId="0" xfId="2" applyNumberFormat="1" applyFont="1" applyAlignment="1" applyProtection="1"/>
    <xf numFmtId="0" fontId="9" fillId="2" borderId="0" xfId="1" applyFont="1" applyAlignment="1" applyProtection="1">
      <alignment horizontal="right"/>
    </xf>
    <xf numFmtId="0" fontId="9" fillId="2" borderId="0" xfId="1" applyFont="1" applyAlignment="1" applyProtection="1">
      <alignment horizontal="center"/>
    </xf>
    <xf numFmtId="0" fontId="9" fillId="4" borderId="0" xfId="3" applyFont="1" applyAlignment="1" applyProtection="1">
      <alignment horizontal="left"/>
      <protection locked="0"/>
    </xf>
    <xf numFmtId="0" fontId="5" fillId="4" borderId="0" xfId="3" applyFont="1" applyAlignment="1" applyProtection="1">
      <alignment horizontal="left"/>
      <protection locked="0"/>
    </xf>
    <xf numFmtId="0" fontId="11" fillId="2" borderId="1" xfId="1" applyFont="1" applyBorder="1" applyAlignment="1" applyProtection="1">
      <alignment horizontal="center" vertical="center"/>
    </xf>
    <xf numFmtId="0" fontId="11" fillId="2" borderId="2" xfId="1" applyFont="1" applyBorder="1" applyAlignment="1" applyProtection="1">
      <alignment horizontal="center" vertical="center"/>
    </xf>
    <xf numFmtId="0" fontId="11" fillId="2" borderId="3" xfId="1" applyFont="1" applyBorder="1" applyAlignment="1" applyProtection="1">
      <alignment horizontal="center" vertical="center"/>
    </xf>
    <xf numFmtId="0" fontId="9" fillId="6" borderId="24" xfId="5" applyFont="1" applyBorder="1" applyAlignment="1" applyProtection="1">
      <alignment horizontal="center"/>
    </xf>
    <xf numFmtId="0" fontId="9" fillId="6" borderId="9" xfId="5" applyFont="1" applyBorder="1" applyAlignment="1" applyProtection="1">
      <alignment horizontal="center"/>
    </xf>
    <xf numFmtId="0" fontId="5" fillId="2" borderId="5" xfId="1" applyFont="1" applyBorder="1" applyAlignment="1" applyProtection="1">
      <alignment horizontal="center"/>
    </xf>
    <xf numFmtId="0" fontId="9" fillId="6" borderId="21" xfId="5" applyFont="1" applyBorder="1" applyAlignment="1" applyProtection="1">
      <alignment horizontal="center"/>
    </xf>
    <xf numFmtId="0" fontId="9" fillId="6" borderId="11" xfId="5" applyFont="1" applyBorder="1" applyAlignment="1" applyProtection="1">
      <alignment horizontal="center"/>
    </xf>
    <xf numFmtId="0" fontId="9" fillId="6" borderId="19" xfId="5" applyFont="1" applyBorder="1" applyAlignment="1" applyProtection="1">
      <alignment horizontal="center"/>
    </xf>
    <xf numFmtId="0" fontId="9" fillId="6" borderId="20" xfId="5" applyFont="1" applyBorder="1" applyAlignment="1" applyProtection="1">
      <alignment horizontal="center"/>
    </xf>
    <xf numFmtId="0" fontId="5" fillId="2" borderId="2" xfId="1" applyFont="1" applyBorder="1" applyAlignment="1">
      <alignment horizontal="center" wrapText="1"/>
    </xf>
    <xf numFmtId="0" fontId="5" fillId="2" borderId="5" xfId="1" applyFont="1" applyBorder="1" applyAlignment="1">
      <alignment horizontal="center"/>
    </xf>
    <xf numFmtId="0" fontId="5" fillId="2" borderId="3" xfId="1" applyFont="1" applyBorder="1" applyAlignment="1">
      <alignment horizontal="center"/>
    </xf>
    <xf numFmtId="0" fontId="5" fillId="2" borderId="6" xfId="1" applyFont="1" applyBorder="1" applyAlignment="1">
      <alignment horizontal="center"/>
    </xf>
    <xf numFmtId="0" fontId="14" fillId="2" borderId="2" xfId="1" applyFont="1" applyBorder="1" applyAlignment="1">
      <alignment horizontal="center"/>
    </xf>
    <xf numFmtId="0" fontId="5" fillId="2" borderId="1" xfId="1" applyFont="1" applyBorder="1" applyAlignment="1">
      <alignment horizontal="center"/>
    </xf>
    <xf numFmtId="0" fontId="5" fillId="2" borderId="26" xfId="1" applyFont="1" applyBorder="1" applyAlignment="1">
      <alignment horizontal="center"/>
    </xf>
    <xf numFmtId="0" fontId="5" fillId="2" borderId="2" xfId="1" applyFont="1" applyBorder="1" applyAlignment="1">
      <alignment horizontal="center"/>
    </xf>
    <xf numFmtId="0" fontId="5" fillId="2" borderId="29" xfId="1" applyFont="1" applyBorder="1" applyAlignment="1">
      <alignment horizontal="center" wrapText="1"/>
    </xf>
    <xf numFmtId="0" fontId="5" fillId="2" borderId="23" xfId="1" applyFont="1" applyBorder="1" applyAlignment="1">
      <alignment horizontal="center" wrapText="1"/>
    </xf>
    <xf numFmtId="0" fontId="0" fillId="0" borderId="0" xfId="0" applyAlignment="1">
      <alignment horizontal="center"/>
    </xf>
    <xf numFmtId="0" fontId="5" fillId="2" borderId="18" xfId="1" applyFont="1" applyBorder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</cellXfs>
  <cellStyles count="8">
    <cellStyle name="60 % - Accent1" xfId="5" builtinId="32"/>
    <cellStyle name="Accent1" xfId="1" builtinId="29"/>
    <cellStyle name="Accent3" xfId="2" builtinId="37"/>
    <cellStyle name="Accent4" xfId="3" builtinId="41"/>
    <cellStyle name="Accent6" xfId="4" builtinId="49"/>
    <cellStyle name="Milliers" xfId="7" builtinId="3"/>
    <cellStyle name="Normal" xfId="0" builtinId="0"/>
    <cellStyle name="Pourcentage" xfId="6" builtinId="5"/>
  </cellStyles>
  <dxfs count="9">
    <dxf>
      <font>
        <color rgb="FF9C0006"/>
      </font>
      <numFmt numFmtId="2" formatCode="0.00"/>
      <fill>
        <patternFill>
          <bgColor rgb="FFFFC7CE"/>
        </patternFill>
      </fill>
    </dxf>
    <dxf>
      <font>
        <b val="0"/>
        <i/>
        <color auto="1"/>
      </font>
      <numFmt numFmtId="2" formatCode="0.00"/>
      <fill>
        <patternFill>
          <bgColor rgb="FF92D050"/>
        </patternFill>
      </fill>
    </dxf>
    <dxf>
      <font>
        <color rgb="FF9C0006"/>
      </font>
      <numFmt numFmtId="1" formatCode="0"/>
      <fill>
        <patternFill>
          <bgColor rgb="FFFFC7CE"/>
        </patternFill>
      </fill>
    </dxf>
    <dxf>
      <numFmt numFmtId="1" formatCode="0"/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color rgb="FF9C0006"/>
      </font>
      <numFmt numFmtId="1" formatCode="0"/>
      <fill>
        <patternFill>
          <bgColor rgb="FFFFC7CE"/>
        </patternFill>
      </fill>
    </dxf>
    <dxf>
      <numFmt numFmtId="1" formatCode="0"/>
      <fill>
        <patternFill>
          <bgColor rgb="FF92D050"/>
        </patternFill>
      </fill>
    </dxf>
    <dxf>
      <font>
        <color rgb="FF9C0006"/>
      </font>
      <numFmt numFmtId="2" formatCode="0.00"/>
      <fill>
        <patternFill>
          <bgColor rgb="FFFFC7CE"/>
        </patternFill>
      </fill>
    </dxf>
    <dxf>
      <font>
        <b val="0"/>
        <i/>
        <color auto="1"/>
      </font>
      <numFmt numFmtId="2" formatCode="0.00"/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trendline>
            <c:trendlineType val="power"/>
            <c:dispRSqr val="1"/>
            <c:dispEq val="1"/>
            <c:trendlineLbl>
              <c:numFmt formatCode="General" sourceLinked="0"/>
            </c:trendlineLbl>
          </c:trendline>
          <c:cat>
            <c:numRef>
              <c:f>Retournement!$O$2:$O$18</c:f>
              <c:numCache>
                <c:formatCode>General</c:formatCode>
                <c:ptCount val="17"/>
                <c:pt idx="0">
                  <c:v>500</c:v>
                </c:pt>
                <c:pt idx="1">
                  <c:v>2500</c:v>
                </c:pt>
                <c:pt idx="2">
                  <c:v>4995</c:v>
                </c:pt>
                <c:pt idx="3">
                  <c:v>5000</c:v>
                </c:pt>
                <c:pt idx="4">
                  <c:v>7500</c:v>
                </c:pt>
                <c:pt idx="5">
                  <c:v>9990</c:v>
                </c:pt>
                <c:pt idx="6">
                  <c:v>14985</c:v>
                </c:pt>
                <c:pt idx="7">
                  <c:v>19980</c:v>
                </c:pt>
                <c:pt idx="8">
                  <c:v>39980</c:v>
                </c:pt>
                <c:pt idx="9">
                  <c:v>119920</c:v>
                </c:pt>
                <c:pt idx="10">
                  <c:v>374750</c:v>
                </c:pt>
                <c:pt idx="11">
                  <c:v>500000</c:v>
                </c:pt>
                <c:pt idx="12">
                  <c:v>640000</c:v>
                </c:pt>
                <c:pt idx="13">
                  <c:v>999500</c:v>
                </c:pt>
                <c:pt idx="14">
                  <c:v>1999000</c:v>
                </c:pt>
                <c:pt idx="15">
                  <c:v>2997000</c:v>
                </c:pt>
                <c:pt idx="16" formatCode="_(* #,##0.00_);_(* \(#,##0.00\);_(* &quot;-&quot;??_);_(@_)">
                  <c:v>11997000</c:v>
                </c:pt>
              </c:numCache>
            </c:numRef>
          </c:cat>
          <c:val>
            <c:numRef>
              <c:f>Retournement!$P$2:$P$18</c:f>
              <c:numCache>
                <c:formatCode>General</c:formatCode>
                <c:ptCount val="17"/>
                <c:pt idx="0">
                  <c:v>0.03</c:v>
                </c:pt>
                <c:pt idx="1">
                  <c:v>0.05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0.15</c:v>
                </c:pt>
                <c:pt idx="6">
                  <c:v>0.35</c:v>
                </c:pt>
                <c:pt idx="7">
                  <c:v>0.5</c:v>
                </c:pt>
                <c:pt idx="8">
                  <c:v>0.92</c:v>
                </c:pt>
                <c:pt idx="9">
                  <c:v>1</c:v>
                </c:pt>
                <c:pt idx="10">
                  <c:v>1.5</c:v>
                </c:pt>
                <c:pt idx="11">
                  <c:v>2</c:v>
                </c:pt>
                <c:pt idx="12">
                  <c:v>2.5</c:v>
                </c:pt>
                <c:pt idx="13">
                  <c:v>3</c:v>
                </c:pt>
                <c:pt idx="14">
                  <c:v>3.5</c:v>
                </c:pt>
                <c:pt idx="15">
                  <c:v>4</c:v>
                </c:pt>
                <c:pt idx="16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410944"/>
        <c:axId val="85412480"/>
      </c:lineChart>
      <c:catAx>
        <c:axId val="85410944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85412480"/>
        <c:crosses val="autoZero"/>
        <c:auto val="1"/>
        <c:lblAlgn val="ctr"/>
        <c:lblOffset val="100"/>
        <c:noMultiLvlLbl val="0"/>
      </c:catAx>
      <c:valAx>
        <c:axId val="85412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410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Retournement!$U$1:$U$65</c:f>
              <c:numCache>
                <c:formatCode>General</c:formatCode>
                <c:ptCount val="65"/>
                <c:pt idx="0">
                  <c:v>4</c:v>
                </c:pt>
                <c:pt idx="1">
                  <c:v>4</c:v>
                </c:pt>
                <c:pt idx="2">
                  <c:v>6</c:v>
                </c:pt>
                <c:pt idx="3">
                  <c:v>6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54</c:v>
                </c:pt>
                <c:pt idx="54">
                  <c:v>55</c:v>
                </c:pt>
                <c:pt idx="55">
                  <c:v>55</c:v>
                </c:pt>
                <c:pt idx="56">
                  <c:v>56</c:v>
                </c:pt>
                <c:pt idx="57">
                  <c:v>56</c:v>
                </c:pt>
                <c:pt idx="58">
                  <c:v>57</c:v>
                </c:pt>
                <c:pt idx="59">
                  <c:v>57</c:v>
                </c:pt>
                <c:pt idx="60">
                  <c:v>58</c:v>
                </c:pt>
                <c:pt idx="61">
                  <c:v>58</c:v>
                </c:pt>
                <c:pt idx="62">
                  <c:v>59</c:v>
                </c:pt>
                <c:pt idx="63">
                  <c:v>59</c:v>
                </c:pt>
                <c:pt idx="64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425152"/>
        <c:axId val="85431040"/>
      </c:lineChart>
      <c:catAx>
        <c:axId val="85425152"/>
        <c:scaling>
          <c:orientation val="minMax"/>
        </c:scaling>
        <c:delete val="0"/>
        <c:axPos val="b"/>
        <c:majorTickMark val="out"/>
        <c:minorTickMark val="none"/>
        <c:tickLblPos val="nextTo"/>
        <c:crossAx val="85431040"/>
        <c:crosses val="autoZero"/>
        <c:auto val="1"/>
        <c:lblAlgn val="ctr"/>
        <c:lblOffset val="100"/>
        <c:noMultiLvlLbl val="0"/>
      </c:catAx>
      <c:valAx>
        <c:axId val="85431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425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962025</xdr:colOff>
      <xdr:row>2</xdr:row>
      <xdr:rowOff>85725</xdr:rowOff>
    </xdr:from>
    <xdr:to>
      <xdr:col>2</xdr:col>
      <xdr:colOff>0</xdr:colOff>
      <xdr:row>54</xdr:row>
      <xdr:rowOff>9525</xdr:rowOff>
    </xdr:to>
    <xdr:cxnSp macro="">
      <xdr:nvCxnSpPr>
        <xdr:cNvPr id="3" name="Connecteur droit avec flèche 2"/>
        <xdr:cNvCxnSpPr/>
      </xdr:nvCxnSpPr>
      <xdr:spPr>
        <a:xfrm flipH="1">
          <a:off x="1724025" y="466725"/>
          <a:ext cx="9525" cy="77343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290512</xdr:colOff>
      <xdr:row>12</xdr:row>
      <xdr:rowOff>171450</xdr:rowOff>
    </xdr:from>
    <xdr:to>
      <xdr:col>13</xdr:col>
      <xdr:colOff>290512</xdr:colOff>
      <xdr:row>27</xdr:row>
      <xdr:rowOff>47625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290512</xdr:colOff>
      <xdr:row>12</xdr:row>
      <xdr:rowOff>171450</xdr:rowOff>
    </xdr:from>
    <xdr:to>
      <xdr:col>17</xdr:col>
      <xdr:colOff>33337</xdr:colOff>
      <xdr:row>27</xdr:row>
      <xdr:rowOff>47625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4"/>
    <tableColumn id="6" name="Colonne6"/>
    <tableColumn id="7" name="Colonne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Z30"/>
  <sheetViews>
    <sheetView topLeftCell="B1" zoomScale="110" zoomScaleNormal="110" zoomScaleSheetLayoutView="100" workbookViewId="0">
      <selection activeCell="C16" sqref="C16"/>
    </sheetView>
  </sheetViews>
  <sheetFormatPr baseColWidth="10" defaultColWidth="4.85546875" defaultRowHeight="15" x14ac:dyDescent="0.25"/>
  <cols>
    <col min="1" max="1" width="21.28515625" bestFit="1" customWidth="1"/>
    <col min="2" max="2" width="51.42578125" bestFit="1" customWidth="1"/>
    <col min="3" max="4" width="4.85546875" customWidth="1"/>
    <col min="5" max="6" width="5.5703125" bestFit="1" customWidth="1"/>
    <col min="7" max="8" width="4.85546875" customWidth="1"/>
    <col min="9" max="9" width="3" customWidth="1"/>
    <col min="10" max="10" width="7" customWidth="1"/>
    <col min="11" max="11" width="13.7109375" customWidth="1"/>
    <col min="12" max="12" width="9.7109375" customWidth="1"/>
    <col min="13" max="13" width="5.5703125" customWidth="1"/>
    <col min="14" max="14" width="10.5703125" bestFit="1" customWidth="1"/>
    <col min="15" max="15" width="11.7109375" customWidth="1"/>
    <col min="26" max="26" width="5.7109375" bestFit="1" customWidth="1"/>
  </cols>
  <sheetData>
    <row r="1" spans="1:26" ht="18.75" x14ac:dyDescent="0.3">
      <c r="A1" s="22" t="s">
        <v>37</v>
      </c>
      <c r="B1" s="23" t="s">
        <v>154</v>
      </c>
      <c r="C1" s="68" t="s">
        <v>42</v>
      </c>
      <c r="D1" s="68"/>
      <c r="E1" s="68"/>
      <c r="F1" s="68"/>
      <c r="G1" s="69">
        <v>20</v>
      </c>
      <c r="H1" s="69"/>
      <c r="I1" s="69"/>
      <c r="J1" s="69"/>
      <c r="K1" s="24"/>
      <c r="L1" s="67" t="s">
        <v>43</v>
      </c>
      <c r="M1" s="67"/>
      <c r="N1" s="67"/>
      <c r="O1" s="20">
        <f>SUM(O21:O30)</f>
        <v>51.919999999999987</v>
      </c>
      <c r="Z1" t="b">
        <f>OR($G$2&gt;1000,$G$1&gt;20)</f>
        <v>0</v>
      </c>
    </row>
    <row r="2" spans="1:26" ht="18.75" x14ac:dyDescent="0.3">
      <c r="A2" s="22" t="s">
        <v>70</v>
      </c>
      <c r="B2" s="23"/>
      <c r="C2" s="68" t="s">
        <v>125</v>
      </c>
      <c r="D2" s="68"/>
      <c r="E2" s="68"/>
      <c r="F2" s="68"/>
      <c r="G2" s="69">
        <v>640</v>
      </c>
      <c r="H2" s="69"/>
      <c r="I2" s="69"/>
      <c r="J2" s="69"/>
      <c r="K2" s="24"/>
      <c r="L2" s="67" t="s">
        <v>134</v>
      </c>
      <c r="M2" s="67"/>
      <c r="N2" s="67"/>
      <c r="O2" s="20">
        <f>O1/60</f>
        <v>0.86533333333333318</v>
      </c>
    </row>
    <row r="3" spans="1:26" ht="18.75" x14ac:dyDescent="0.3">
      <c r="A3" s="22" t="s">
        <v>38</v>
      </c>
      <c r="B3" s="25" t="s">
        <v>39</v>
      </c>
      <c r="C3" s="26"/>
      <c r="D3" s="26"/>
      <c r="E3" s="26"/>
      <c r="F3" s="26"/>
      <c r="G3" s="26"/>
      <c r="H3" s="26"/>
      <c r="I3" s="26"/>
      <c r="J3" s="26"/>
      <c r="K3" s="24"/>
      <c r="L3" s="67" t="s">
        <v>63</v>
      </c>
      <c r="M3" s="67"/>
      <c r="N3" s="67"/>
      <c r="O3" s="66">
        <f>IF(OR(ISBLANK(O1),O1=0),0,ROUNDDOWN(3600/O1,0))</f>
        <v>69</v>
      </c>
    </row>
    <row r="4" spans="1:26" ht="18.75" x14ac:dyDescent="0.3">
      <c r="A4" s="21"/>
      <c r="B4" s="21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</row>
    <row r="5" spans="1:26" ht="18.75" x14ac:dyDescent="0.3">
      <c r="A5" s="22" t="s">
        <v>40</v>
      </c>
      <c r="B5" s="22" t="s">
        <v>41</v>
      </c>
      <c r="C5" s="70">
        <v>1</v>
      </c>
      <c r="D5" s="70"/>
      <c r="E5" s="70"/>
      <c r="F5" s="70"/>
      <c r="G5" s="70"/>
      <c r="H5" s="24"/>
      <c r="I5" s="24"/>
      <c r="J5" s="24"/>
      <c r="K5" s="24"/>
      <c r="L5" s="24"/>
      <c r="M5" s="24"/>
      <c r="N5" s="24"/>
      <c r="O5" s="24"/>
    </row>
    <row r="6" spans="1:26" ht="18.75" x14ac:dyDescent="0.3">
      <c r="A6" s="21"/>
      <c r="B6" s="22" t="s">
        <v>45</v>
      </c>
      <c r="C6" s="70">
        <v>0</v>
      </c>
      <c r="D6" s="70"/>
      <c r="E6" s="70"/>
      <c r="F6" s="70"/>
      <c r="G6" s="70"/>
      <c r="H6" s="27"/>
      <c r="I6" s="24"/>
      <c r="J6" s="24"/>
      <c r="K6" s="24"/>
      <c r="L6" s="24"/>
      <c r="M6" s="24"/>
      <c r="N6" s="24"/>
      <c r="O6" s="24"/>
    </row>
    <row r="7" spans="1:26" ht="37.5" x14ac:dyDescent="0.3">
      <c r="A7" s="21"/>
      <c r="B7" s="28" t="s">
        <v>137</v>
      </c>
      <c r="C7" s="70">
        <v>0</v>
      </c>
      <c r="D7" s="70"/>
      <c r="E7" s="70"/>
      <c r="F7" s="70"/>
      <c r="G7" s="70"/>
      <c r="H7" s="27"/>
      <c r="I7" s="24"/>
      <c r="J7" s="24"/>
      <c r="K7" s="24"/>
      <c r="L7" s="24"/>
      <c r="M7" s="24"/>
      <c r="N7" s="24"/>
      <c r="O7" s="24"/>
    </row>
    <row r="8" spans="1:26" ht="18.75" x14ac:dyDescent="0.3">
      <c r="A8" s="21"/>
      <c r="B8" s="22" t="s">
        <v>44</v>
      </c>
      <c r="C8" s="70">
        <v>0</v>
      </c>
      <c r="D8" s="70"/>
      <c r="E8" s="70"/>
      <c r="F8" s="70"/>
      <c r="G8" s="70"/>
      <c r="H8" s="27"/>
      <c r="I8" s="27"/>
      <c r="J8" s="24"/>
      <c r="K8" s="24"/>
      <c r="L8" s="24"/>
      <c r="M8" s="24"/>
      <c r="N8" s="24"/>
      <c r="O8" s="24"/>
    </row>
    <row r="9" spans="1:26" ht="21" x14ac:dyDescent="0.35">
      <c r="A9" s="52"/>
      <c r="B9" s="22" t="s">
        <v>65</v>
      </c>
      <c r="C9" s="70">
        <v>10</v>
      </c>
      <c r="D9" s="70"/>
      <c r="E9" s="70"/>
      <c r="F9" s="70"/>
      <c r="G9" s="70"/>
      <c r="H9" s="27"/>
      <c r="I9" s="27"/>
      <c r="J9" s="24"/>
      <c r="K9" s="24"/>
      <c r="L9" s="24"/>
      <c r="M9" s="24"/>
      <c r="N9" s="24"/>
      <c r="O9" s="24"/>
    </row>
    <row r="10" spans="1:26" ht="0.2" customHeight="1" x14ac:dyDescent="0.35">
      <c r="A10" s="52"/>
      <c r="B10" s="24"/>
      <c r="C10" s="27"/>
      <c r="D10" s="27"/>
      <c r="E10" s="27"/>
      <c r="F10" s="27"/>
      <c r="G10" s="27"/>
      <c r="H10" s="27"/>
      <c r="I10" s="27"/>
      <c r="J10" s="24"/>
      <c r="K10" s="24"/>
      <c r="L10" s="24"/>
      <c r="M10" s="24"/>
      <c r="N10" s="24"/>
      <c r="O10" s="24"/>
    </row>
    <row r="11" spans="1:26" ht="0.2" customHeight="1" x14ac:dyDescent="0.35">
      <c r="A11" s="52"/>
      <c r="B11" s="24"/>
      <c r="C11" s="27"/>
      <c r="D11" s="27"/>
      <c r="E11" s="27"/>
      <c r="F11" s="27"/>
      <c r="G11" s="27"/>
      <c r="H11" s="27"/>
      <c r="I11" s="27"/>
      <c r="J11" s="24"/>
      <c r="K11" s="24"/>
      <c r="L11" s="24"/>
      <c r="M11" s="24"/>
      <c r="N11" s="24"/>
      <c r="O11" s="24"/>
    </row>
    <row r="12" spans="1:26" ht="0.2" customHeight="1" x14ac:dyDescent="0.35">
      <c r="A12" s="52"/>
      <c r="B12" s="24"/>
      <c r="C12" s="27"/>
      <c r="D12" s="27"/>
      <c r="E12" s="27"/>
      <c r="F12" s="27"/>
      <c r="G12" s="27"/>
      <c r="H12" s="27"/>
      <c r="I12" s="27"/>
      <c r="J12" s="24"/>
      <c r="K12" s="24"/>
      <c r="L12" s="24"/>
      <c r="M12" s="24"/>
      <c r="N12" s="24"/>
      <c r="O12" s="24"/>
    </row>
    <row r="13" spans="1:26" ht="0.2" customHeight="1" x14ac:dyDescent="0.35">
      <c r="A13" s="52"/>
      <c r="B13" s="24"/>
      <c r="C13" s="27"/>
      <c r="D13" s="27"/>
      <c r="E13" s="27"/>
      <c r="F13" s="27"/>
      <c r="G13" s="27"/>
      <c r="H13" s="27"/>
      <c r="I13" s="27"/>
      <c r="J13" s="24"/>
      <c r="K13" s="24"/>
      <c r="L13" s="24"/>
      <c r="M13" s="24"/>
      <c r="N13" s="24"/>
      <c r="O13" s="24"/>
    </row>
    <row r="14" spans="1:26" ht="0.2" customHeight="1" x14ac:dyDescent="0.35">
      <c r="A14" s="52"/>
      <c r="B14" s="24"/>
      <c r="C14" s="27"/>
      <c r="D14" s="27"/>
      <c r="E14" s="27"/>
      <c r="F14" s="27"/>
      <c r="G14" s="27"/>
      <c r="H14" s="27"/>
      <c r="I14" s="27"/>
      <c r="J14" s="24"/>
      <c r="K14" s="24"/>
      <c r="L14" s="24"/>
      <c r="M14" s="24"/>
      <c r="N14" s="24"/>
      <c r="O14" s="24"/>
    </row>
    <row r="15" spans="1:26" ht="0.2" customHeight="1" x14ac:dyDescent="0.35">
      <c r="A15" s="52"/>
      <c r="B15" s="24"/>
      <c r="C15" s="27"/>
      <c r="D15" s="27"/>
      <c r="E15" s="27"/>
      <c r="F15" s="27"/>
      <c r="G15" s="27"/>
      <c r="H15" s="27"/>
      <c r="I15" s="27"/>
      <c r="J15" s="24"/>
      <c r="K15" s="24"/>
      <c r="L15" s="24"/>
      <c r="M15" s="24"/>
      <c r="N15" s="24"/>
      <c r="O15" s="24"/>
    </row>
    <row r="16" spans="1:26" ht="0.2" customHeight="1" x14ac:dyDescent="0.35">
      <c r="A16" s="52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</row>
    <row r="17" spans="1:15" ht="0.2" customHeight="1" x14ac:dyDescent="0.35">
      <c r="A17" s="52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</row>
    <row r="18" spans="1:15" ht="21.75" thickBot="1" x14ac:dyDescent="0.4">
      <c r="A18" s="52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</row>
    <row r="19" spans="1:15" ht="57" thickBot="1" x14ac:dyDescent="0.35">
      <c r="A19" s="24"/>
      <c r="B19" s="29"/>
      <c r="C19" s="71" t="s">
        <v>123</v>
      </c>
      <c r="D19" s="72"/>
      <c r="E19" s="72"/>
      <c r="F19" s="72" t="s">
        <v>10</v>
      </c>
      <c r="G19" s="72"/>
      <c r="H19" s="72"/>
      <c r="I19" s="72" t="s">
        <v>11</v>
      </c>
      <c r="J19" s="72"/>
      <c r="K19" s="30" t="s">
        <v>124</v>
      </c>
      <c r="L19" s="30" t="s">
        <v>64</v>
      </c>
      <c r="M19" s="31" t="s">
        <v>48</v>
      </c>
      <c r="N19" s="72" t="s">
        <v>61</v>
      </c>
      <c r="O19" s="73"/>
    </row>
    <row r="20" spans="1:15" ht="19.5" thickBot="1" x14ac:dyDescent="0.35">
      <c r="A20" s="24"/>
      <c r="B20" s="32" t="s">
        <v>46</v>
      </c>
      <c r="C20" s="33" t="s">
        <v>68</v>
      </c>
      <c r="D20" s="34" t="s">
        <v>3</v>
      </c>
      <c r="E20" s="34" t="s">
        <v>4</v>
      </c>
      <c r="F20" s="34" t="s">
        <v>68</v>
      </c>
      <c r="G20" s="34" t="s">
        <v>3</v>
      </c>
      <c r="H20" s="34" t="s">
        <v>5</v>
      </c>
      <c r="I20" s="76" t="s">
        <v>6</v>
      </c>
      <c r="J20" s="76"/>
      <c r="K20" s="34" t="s">
        <v>68</v>
      </c>
      <c r="L20" s="34" t="s">
        <v>47</v>
      </c>
      <c r="M20" s="34" t="s">
        <v>49</v>
      </c>
      <c r="N20" s="34" t="s">
        <v>1</v>
      </c>
      <c r="O20" s="35" t="s">
        <v>62</v>
      </c>
    </row>
    <row r="21" spans="1:15" ht="18.75" x14ac:dyDescent="0.3">
      <c r="A21" s="24"/>
      <c r="B21" s="36" t="s">
        <v>66</v>
      </c>
      <c r="C21" s="37">
        <v>1</v>
      </c>
      <c r="D21" s="38">
        <v>6</v>
      </c>
      <c r="E21" s="38">
        <f>Manutention!$K$10</f>
        <v>21</v>
      </c>
      <c r="F21" s="38">
        <f>Manutention!$K$11</f>
        <v>16</v>
      </c>
      <c r="G21" s="38">
        <v>1</v>
      </c>
      <c r="H21" s="38">
        <v>3</v>
      </c>
      <c r="I21" s="79"/>
      <c r="J21" s="80"/>
      <c r="K21" s="38"/>
      <c r="L21" s="38"/>
      <c r="M21" s="38"/>
      <c r="N21" s="39">
        <f>IF(ISBLANK(L21),(C21+D21+E21+F21+G21+H21+I21+K21)*10,L21/0.036)*IF(ISBLANK(M21),1,M21)</f>
        <v>480</v>
      </c>
      <c r="O21" s="40">
        <f>N21*0.036</f>
        <v>17.279999999999998</v>
      </c>
    </row>
    <row r="22" spans="1:15" ht="18.75" x14ac:dyDescent="0.3">
      <c r="A22" s="24"/>
      <c r="B22" s="36" t="s">
        <v>52</v>
      </c>
      <c r="C22" s="41">
        <v>1</v>
      </c>
      <c r="D22" s="42"/>
      <c r="E22" s="42">
        <v>0</v>
      </c>
      <c r="F22" s="42">
        <v>3</v>
      </c>
      <c r="G22" s="42"/>
      <c r="H22" s="42">
        <v>6</v>
      </c>
      <c r="I22" s="77"/>
      <c r="J22" s="78"/>
      <c r="K22" s="42"/>
      <c r="L22" s="43"/>
      <c r="M22" s="43">
        <f>$C$5</f>
        <v>1</v>
      </c>
      <c r="N22" s="44">
        <f t="shared" ref="N22:N30" si="0">IF(ISBLANK(L22),(C22+D22+E22+F22+G22+H22+I22+K22)*10,L22/0.036)*IF(ISBLANK(M22),1,M22)</f>
        <v>100</v>
      </c>
      <c r="O22" s="45">
        <f t="shared" ref="O22:O30" si="1">N22*0.036</f>
        <v>3.5999999999999996</v>
      </c>
    </row>
    <row r="23" spans="1:15" ht="18.75" x14ac:dyDescent="0.3">
      <c r="A23" s="24"/>
      <c r="B23" s="36" t="s">
        <v>53</v>
      </c>
      <c r="C23" s="41">
        <v>3</v>
      </c>
      <c r="D23" s="42"/>
      <c r="E23" s="42"/>
      <c r="F23" s="42"/>
      <c r="G23" s="42"/>
      <c r="H23" s="42"/>
      <c r="I23" s="77"/>
      <c r="J23" s="78"/>
      <c r="K23" s="42"/>
      <c r="L23" s="43"/>
      <c r="M23" s="43">
        <f t="shared" ref="M23:M24" si="2">$C$5</f>
        <v>1</v>
      </c>
      <c r="N23" s="44">
        <f t="shared" si="0"/>
        <v>30</v>
      </c>
      <c r="O23" s="45">
        <f t="shared" si="1"/>
        <v>1.0799999999999998</v>
      </c>
    </row>
    <row r="24" spans="1:15" ht="18.75" x14ac:dyDescent="0.3">
      <c r="A24" s="24"/>
      <c r="B24" s="36" t="s">
        <v>54</v>
      </c>
      <c r="C24" s="41"/>
      <c r="D24" s="42"/>
      <c r="E24" s="42"/>
      <c r="F24" s="42"/>
      <c r="G24" s="42"/>
      <c r="H24" s="42"/>
      <c r="I24" s="77"/>
      <c r="J24" s="78"/>
      <c r="K24" s="42">
        <v>6</v>
      </c>
      <c r="L24" s="43">
        <v>8</v>
      </c>
      <c r="M24" s="43">
        <f t="shared" si="2"/>
        <v>1</v>
      </c>
      <c r="N24" s="44">
        <f>IF(ISBLANK(L24),(C24+D24+E24+F24+G24+H24+I24+K24)*10,L24/0.036)*IF(ISBLANK(M24),1,M24)</f>
        <v>222.22222222222223</v>
      </c>
      <c r="O24" s="45">
        <f t="shared" si="1"/>
        <v>8</v>
      </c>
    </row>
    <row r="25" spans="1:15" ht="18.75" x14ac:dyDescent="0.3">
      <c r="A25" s="24"/>
      <c r="B25" s="36" t="s">
        <v>55</v>
      </c>
      <c r="C25" s="41">
        <f>IF($M$25&gt;0,1,0)</f>
        <v>0</v>
      </c>
      <c r="D25" s="42">
        <f>IF($M$25&gt;0,6,0)</f>
        <v>0</v>
      </c>
      <c r="E25" s="42">
        <f>IF($M$25&gt;0,Retournement!$K$7,0)</f>
        <v>0</v>
      </c>
      <c r="F25" s="42">
        <f>IF($M$25&gt;0,3,0)</f>
        <v>0</v>
      </c>
      <c r="G25" s="42">
        <f>IF($M$25&gt;0,6,0)</f>
        <v>0</v>
      </c>
      <c r="H25" s="42">
        <f>IF($M$25&gt;0,3,0)</f>
        <v>0</v>
      </c>
      <c r="I25" s="77"/>
      <c r="J25" s="78"/>
      <c r="K25" s="42"/>
      <c r="L25" s="43"/>
      <c r="M25" s="43">
        <f>C6+C7</f>
        <v>0</v>
      </c>
      <c r="N25" s="44">
        <f t="shared" si="0"/>
        <v>0</v>
      </c>
      <c r="O25" s="45">
        <f t="shared" si="1"/>
        <v>0</v>
      </c>
    </row>
    <row r="26" spans="1:15" ht="18.75" x14ac:dyDescent="0.3">
      <c r="A26" s="24"/>
      <c r="B26" s="36" t="s">
        <v>56</v>
      </c>
      <c r="C26" s="41">
        <f t="shared" ref="C26:H26" si="3">C21</f>
        <v>1</v>
      </c>
      <c r="D26" s="42">
        <f t="shared" si="3"/>
        <v>6</v>
      </c>
      <c r="E26" s="42">
        <f t="shared" si="3"/>
        <v>21</v>
      </c>
      <c r="F26" s="42">
        <f t="shared" si="3"/>
        <v>16</v>
      </c>
      <c r="G26" s="42">
        <f t="shared" si="3"/>
        <v>1</v>
      </c>
      <c r="H26" s="42">
        <f t="shared" si="3"/>
        <v>3</v>
      </c>
      <c r="I26" s="77"/>
      <c r="J26" s="78"/>
      <c r="K26" s="42"/>
      <c r="L26" s="43"/>
      <c r="M26" s="43"/>
      <c r="N26" s="44">
        <f t="shared" si="0"/>
        <v>480</v>
      </c>
      <c r="O26" s="45">
        <f t="shared" si="1"/>
        <v>17.279999999999998</v>
      </c>
    </row>
    <row r="27" spans="1:15" ht="18.75" x14ac:dyDescent="0.3">
      <c r="A27" s="24"/>
      <c r="B27" s="36" t="s">
        <v>57</v>
      </c>
      <c r="C27" s="41">
        <f>IF($Z$1,0,C21)</f>
        <v>1</v>
      </c>
      <c r="D27" s="42"/>
      <c r="E27" s="42">
        <f>IF($Z$1,0,E21)</f>
        <v>21</v>
      </c>
      <c r="F27" s="42">
        <f>IF($Z$1,0,6)</f>
        <v>6</v>
      </c>
      <c r="G27" s="42">
        <f>IF($Z$1,0,3)</f>
        <v>3</v>
      </c>
      <c r="H27" s="42">
        <f>IF($Z$1,0,3)</f>
        <v>3</v>
      </c>
      <c r="I27" s="77"/>
      <c r="J27" s="78"/>
      <c r="K27" s="42"/>
      <c r="L27" s="43"/>
      <c r="M27" s="46"/>
      <c r="N27" s="44">
        <f>IF(ISBLANK(L27),(C27+D27+E27+F27+G27+H27+I27+K27)*10,L27/0.036)*IF(ISBLANK(M28),1,M28)</f>
        <v>34</v>
      </c>
      <c r="O27" s="45">
        <f t="shared" si="1"/>
        <v>1.224</v>
      </c>
    </row>
    <row r="28" spans="1:15" ht="18.75" x14ac:dyDescent="0.3">
      <c r="A28" s="24"/>
      <c r="B28" s="36" t="s">
        <v>58</v>
      </c>
      <c r="C28" s="41">
        <f>IF($Z$1,12,1)</f>
        <v>1</v>
      </c>
      <c r="D28" s="42">
        <f>IF($Z$1,3,0)</f>
        <v>0</v>
      </c>
      <c r="E28" s="42">
        <f>IF($Z$1,3,0)</f>
        <v>0</v>
      </c>
      <c r="F28" s="42">
        <v>1</v>
      </c>
      <c r="G28" s="42"/>
      <c r="H28" s="42">
        <v>1</v>
      </c>
      <c r="I28" s="77">
        <f>ROUNDUP(abaques!$B$11+(G2*0.02),0)</f>
        <v>29</v>
      </c>
      <c r="J28" s="78"/>
      <c r="K28" s="42"/>
      <c r="L28" s="43"/>
      <c r="M28" s="43">
        <f>IF($C$9&gt;0,$C$5/$C$9,0)</f>
        <v>0.1</v>
      </c>
      <c r="N28" s="44">
        <f>IF(ISBLANK(L28),(C28+D28+E28+F28+G28+H28+I28+K28)*10,L28/0.036)*IF(ISBLANK(M29),1,M29)</f>
        <v>96</v>
      </c>
      <c r="O28" s="45">
        <f t="shared" si="1"/>
        <v>3.4559999999999995</v>
      </c>
    </row>
    <row r="29" spans="1:15" ht="18.75" x14ac:dyDescent="0.3">
      <c r="A29" s="24"/>
      <c r="B29" s="36" t="s">
        <v>59</v>
      </c>
      <c r="C29" s="41">
        <v>1</v>
      </c>
      <c r="D29" s="42"/>
      <c r="E29" s="42">
        <f t="shared" ref="E29:E30" si="4">IF($Z$1,3,0)</f>
        <v>0</v>
      </c>
      <c r="F29" s="42">
        <v>1</v>
      </c>
      <c r="G29" s="42"/>
      <c r="H29" s="42">
        <v>1</v>
      </c>
      <c r="I29" s="77">
        <f>ROUNDUP(abaques!$B$11+(G2*0.02),0)</f>
        <v>29</v>
      </c>
      <c r="J29" s="78"/>
      <c r="K29" s="42"/>
      <c r="L29" s="43"/>
      <c r="M29" s="43">
        <f>IF($C$9&gt;0,($C$5+2)/$C$9,0)</f>
        <v>0.3</v>
      </c>
      <c r="N29" s="44">
        <f>IF(ISBLANK(L29),(C29+D29+E29+F29+G29+H29+I29+K29)*10,L29/0.036)*IF(ISBLANK(M30),1,M30)</f>
        <v>0</v>
      </c>
      <c r="O29" s="45">
        <f t="shared" ref="O29" si="5">N29*0.036</f>
        <v>0</v>
      </c>
    </row>
    <row r="30" spans="1:15" ht="19.5" thickBot="1" x14ac:dyDescent="0.35">
      <c r="A30" s="24"/>
      <c r="B30" s="47" t="s">
        <v>60</v>
      </c>
      <c r="C30" s="41">
        <v>1</v>
      </c>
      <c r="D30" s="48"/>
      <c r="E30" s="42">
        <f t="shared" si="4"/>
        <v>0</v>
      </c>
      <c r="F30" s="48">
        <f>IF($C$8&gt;0,3,0)</f>
        <v>0</v>
      </c>
      <c r="G30" s="48"/>
      <c r="H30" s="48">
        <f>IF($C$8&gt;0,3,0)</f>
        <v>0</v>
      </c>
      <c r="I30" s="74">
        <f>ROUNDUP(abaques!$B$11+(G2*0.01),0)</f>
        <v>23</v>
      </c>
      <c r="J30" s="75"/>
      <c r="K30" s="48"/>
      <c r="L30" s="49"/>
      <c r="M30" s="49">
        <f>IF($C$9&gt;0,($C$8)/$C$9,0)</f>
        <v>0</v>
      </c>
      <c r="N30" s="50">
        <f t="shared" si="0"/>
        <v>0</v>
      </c>
      <c r="O30" s="51">
        <f t="shared" si="1"/>
        <v>0</v>
      </c>
    </row>
  </sheetData>
  <dataConsolidate/>
  <mergeCells count="27">
    <mergeCell ref="N19:O19"/>
    <mergeCell ref="I30:J30"/>
    <mergeCell ref="I20:J20"/>
    <mergeCell ref="I24:J24"/>
    <mergeCell ref="I25:J25"/>
    <mergeCell ref="I26:J26"/>
    <mergeCell ref="I27:J27"/>
    <mergeCell ref="I28:J28"/>
    <mergeCell ref="I29:J29"/>
    <mergeCell ref="I21:J21"/>
    <mergeCell ref="I22:J22"/>
    <mergeCell ref="I23:J23"/>
    <mergeCell ref="C5:G5"/>
    <mergeCell ref="C19:E19"/>
    <mergeCell ref="F19:H19"/>
    <mergeCell ref="I19:J19"/>
    <mergeCell ref="C6:G6"/>
    <mergeCell ref="C7:G7"/>
    <mergeCell ref="C8:G8"/>
    <mergeCell ref="C9:G9"/>
    <mergeCell ref="L1:N1"/>
    <mergeCell ref="L3:N3"/>
    <mergeCell ref="C2:F2"/>
    <mergeCell ref="G2:J2"/>
    <mergeCell ref="C1:F1"/>
    <mergeCell ref="G1:J1"/>
    <mergeCell ref="L2:N2"/>
  </mergeCells>
  <dataValidations count="9">
    <dataValidation type="whole" operator="greaterThanOrEqual" allowBlank="1" showInputMessage="1" showErrorMessage="1" sqref="L22:L30">
      <formula1>0</formula1>
    </dataValidation>
    <dataValidation type="decimal" operator="greaterThanOrEqual" allowBlank="1" showInputMessage="1" showErrorMessage="1" sqref="L21 M21:M26 M28:M30">
      <formula1>0</formula1>
    </dataValidation>
    <dataValidation type="whole" operator="greaterThan" allowBlank="1" showErrorMessage="1" errorTitle="Erreur" error="Le nombre de pli doit etre &gt; 0" sqref="C5:G5">
      <formula1>0</formula1>
    </dataValidation>
    <dataValidation type="whole" operator="greaterThanOrEqual" allowBlank="1" showInputMessage="1" showErrorMessage="1" errorTitle="Erreur" error="Le nombre de retournement doit etre &gt;= 0" sqref="C6:G6">
      <formula1>0</formula1>
    </dataValidation>
    <dataValidation type="whole" operator="greaterThanOrEqual" allowBlank="1" showInputMessage="1" showErrorMessage="1" errorTitle="Erreur" error="Le nombre de retournement doit etre &gt;=0" sqref="C7:G7">
      <formula1>0</formula1>
    </dataValidation>
    <dataValidation type="whole" operator="greaterThanOrEqual" allowBlank="1" showInputMessage="1" showErrorMessage="1" errorTitle="Erreur" error="Le nombre de gabarit doit etre &gt;=0" sqref="C8:G8">
      <formula1>0</formula1>
    </dataValidation>
    <dataValidation type="whole" operator="greaterThan" allowBlank="1" showInputMessage="1" showErrorMessage="1" errorTitle="Erreur" error="La frequence de controle doit etre &gt; 0" sqref="K8">
      <formula1>0</formula1>
    </dataValidation>
    <dataValidation type="whole" operator="greaterThan" allowBlank="1" showInputMessage="1" showErrorMessage="1" errorTitle="Erreur" error="Le poids doit etre &gt;0" sqref="G1:J1">
      <formula1>0</formula1>
    </dataValidation>
    <dataValidation type="whole" operator="greaterThan" allowBlank="1" showInputMessage="1" showErrorMessage="1" errorTitle="Erreur" error="La longueur doit etre &gt; 0" sqref="G2:J2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1:D2"/>
  <sheetViews>
    <sheetView zoomScale="96" zoomScaleNormal="96" workbookViewId="0">
      <selection activeCell="D2" sqref="D2"/>
    </sheetView>
  </sheetViews>
  <sheetFormatPr baseColWidth="10" defaultRowHeight="15" x14ac:dyDescent="0.25"/>
  <sheetData>
    <row r="1" spans="2:4" x14ac:dyDescent="0.25">
      <c r="B1" t="s">
        <v>138</v>
      </c>
      <c r="C1" t="s">
        <v>139</v>
      </c>
      <c r="D1" t="s">
        <v>140</v>
      </c>
    </row>
    <row r="2" spans="2:4" x14ac:dyDescent="0.25">
      <c r="C2" s="5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O42"/>
  <sheetViews>
    <sheetView tabSelected="1" workbookViewId="0">
      <selection activeCell="D5" sqref="D5"/>
    </sheetView>
  </sheetViews>
  <sheetFormatPr baseColWidth="10" defaultRowHeight="15" x14ac:dyDescent="0.25"/>
  <cols>
    <col min="4" max="4" width="12.5703125" bestFit="1" customWidth="1"/>
    <col min="6" max="6" width="12.5703125" bestFit="1" customWidth="1"/>
    <col min="7" max="7" width="10.140625" bestFit="1" customWidth="1"/>
    <col min="8" max="8" width="20.85546875" bestFit="1" customWidth="1"/>
    <col min="10" max="11" width="10.85546875" bestFit="1" customWidth="1"/>
  </cols>
  <sheetData>
    <row r="1" spans="1:15" ht="38.25" customHeight="1" x14ac:dyDescent="0.35">
      <c r="A1" s="86" t="s">
        <v>138</v>
      </c>
      <c r="B1" s="88" t="s">
        <v>139</v>
      </c>
      <c r="C1" s="85" t="s">
        <v>146</v>
      </c>
      <c r="D1" s="85"/>
      <c r="E1" s="85" t="s">
        <v>142</v>
      </c>
      <c r="F1" s="85"/>
      <c r="G1" s="88" t="s">
        <v>143</v>
      </c>
      <c r="H1" s="88" t="s">
        <v>144</v>
      </c>
      <c r="I1" s="81" t="s">
        <v>151</v>
      </c>
      <c r="J1" s="89" t="s">
        <v>152</v>
      </c>
      <c r="K1" s="81" t="s">
        <v>153</v>
      </c>
      <c r="L1" s="83" t="s">
        <v>145</v>
      </c>
    </row>
    <row r="2" spans="1:15" ht="19.5" thickBot="1" x14ac:dyDescent="0.35">
      <c r="A2" s="87"/>
      <c r="B2" s="82"/>
      <c r="C2" s="59" t="s">
        <v>147</v>
      </c>
      <c r="D2" s="59" t="s">
        <v>141</v>
      </c>
      <c r="E2" s="59" t="s">
        <v>142</v>
      </c>
      <c r="F2" s="59" t="s">
        <v>141</v>
      </c>
      <c r="G2" s="82"/>
      <c r="H2" s="82"/>
      <c r="I2" s="82"/>
      <c r="J2" s="90"/>
      <c r="K2" s="82"/>
      <c r="L2" s="84"/>
    </row>
    <row r="3" spans="1:15" x14ac:dyDescent="0.25">
      <c r="B3" s="53">
        <v>41926</v>
      </c>
      <c r="C3" s="54">
        <v>0.4770833333333333</v>
      </c>
      <c r="D3">
        <v>2</v>
      </c>
      <c r="E3" s="54">
        <v>0.49305555555555558</v>
      </c>
      <c r="F3">
        <v>27</v>
      </c>
      <c r="G3" s="54">
        <f>IF(OR(ISBLANK(E3),ISBLANK(C3)),"",E3-C3)</f>
        <v>1.5972222222222276E-2</v>
      </c>
      <c r="H3">
        <f>F3-D3</f>
        <v>25</v>
      </c>
      <c r="I3" s="55">
        <f>IF(OR(ISBLANK(C3),ISBLANK(G3),G3=0),"",ROUNDUP(60*H3/(G3*1440),0))</f>
        <v>66</v>
      </c>
      <c r="J3" s="55">
        <f>Calcul!$O$3</f>
        <v>69</v>
      </c>
      <c r="K3" s="56">
        <f>IF(OR(ISBLANK(C3),ISBLANK(G3),G3=0),"",Calcul!$O$3-I3)</f>
        <v>3</v>
      </c>
      <c r="L3" s="57">
        <f>IF(OR(ISBLANK(C3),ISBLANK(G3),G3=0),"",K3/I3)</f>
        <v>4.5454545454545456E-2</v>
      </c>
      <c r="M3" s="54"/>
      <c r="O3" s="58"/>
    </row>
    <row r="4" spans="1:15" x14ac:dyDescent="0.25">
      <c r="B4" s="53">
        <v>41941</v>
      </c>
      <c r="C4" s="54">
        <v>0.62847222222222221</v>
      </c>
      <c r="D4">
        <v>16</v>
      </c>
      <c r="E4" s="54">
        <v>0.67013888888888884</v>
      </c>
      <c r="F4">
        <v>82</v>
      </c>
      <c r="G4" s="54">
        <f>IF(OR(ISBLANK(E4),ISBLANK(C4)),"",E4-C4)</f>
        <v>4.166666666666663E-2</v>
      </c>
      <c r="H4">
        <f>F4-D4</f>
        <v>66</v>
      </c>
      <c r="I4" s="55">
        <f>IF(OR(ISBLANK(C4),ISBLANK(G4),G4=0),"",ROUNDUP(60*H4/(G4*1440),0))</f>
        <v>67</v>
      </c>
      <c r="J4" s="55">
        <f>Calcul!$O$3</f>
        <v>69</v>
      </c>
      <c r="K4" s="56">
        <f>IF(OR(ISBLANK(C4),ISBLANK(G4),G4=0),"",Calcul!$O$3-I4)</f>
        <v>2</v>
      </c>
      <c r="L4" s="57">
        <f t="shared" ref="L4:L42" si="0">IF(ISBLANK(G4),"",K4/I4)</f>
        <v>2.9850746268656716E-2</v>
      </c>
    </row>
    <row r="5" spans="1:15" x14ac:dyDescent="0.25">
      <c r="B5" s="53"/>
      <c r="C5" s="54"/>
      <c r="E5" s="54"/>
      <c r="G5" s="54"/>
      <c r="I5" s="55" t="str">
        <f t="shared" ref="I5:I42" si="1">IF(ISBLANK(G5),"",ROUNDUP(60*H5/(G5*1440),0))</f>
        <v/>
      </c>
      <c r="J5" s="55"/>
      <c r="K5" s="56" t="str">
        <f>IF(ISBLANK(G5),"",Calcul!O5-I5)</f>
        <v/>
      </c>
      <c r="L5" s="57" t="str">
        <f t="shared" si="0"/>
        <v/>
      </c>
      <c r="N5" s="58"/>
    </row>
    <row r="6" spans="1:15" x14ac:dyDescent="0.25">
      <c r="B6" s="53"/>
      <c r="C6" s="54"/>
      <c r="E6" s="54"/>
      <c r="G6" s="54"/>
      <c r="I6" s="55" t="str">
        <f t="shared" si="1"/>
        <v/>
      </c>
      <c r="J6" s="55"/>
      <c r="K6" s="56" t="str">
        <f>IF(ISBLANK(G6),"",Calcul!O6-I6)</f>
        <v/>
      </c>
      <c r="L6" s="57" t="str">
        <f t="shared" si="0"/>
        <v/>
      </c>
    </row>
    <row r="7" spans="1:15" x14ac:dyDescent="0.25">
      <c r="B7" s="53"/>
      <c r="C7" s="54"/>
      <c r="E7" s="54"/>
      <c r="G7" s="54"/>
      <c r="I7" s="55" t="str">
        <f t="shared" si="1"/>
        <v/>
      </c>
      <c r="J7" s="55"/>
      <c r="K7" s="56" t="str">
        <f>IF(ISBLANK(G7),"",Calcul!O7-I7)</f>
        <v/>
      </c>
      <c r="L7" s="57" t="str">
        <f t="shared" si="0"/>
        <v/>
      </c>
    </row>
    <row r="8" spans="1:15" x14ac:dyDescent="0.25">
      <c r="B8" s="53"/>
      <c r="C8" s="54"/>
      <c r="E8" s="54"/>
      <c r="G8" s="54"/>
      <c r="I8" s="55" t="str">
        <f t="shared" si="1"/>
        <v/>
      </c>
      <c r="J8" s="55"/>
      <c r="K8" s="56" t="str">
        <f>IF(ISBLANK(G8),"",Calcul!O8-I8)</f>
        <v/>
      </c>
      <c r="L8" s="57" t="str">
        <f t="shared" si="0"/>
        <v/>
      </c>
    </row>
    <row r="9" spans="1:15" x14ac:dyDescent="0.25">
      <c r="B9" s="53"/>
      <c r="C9" s="54"/>
      <c r="E9" s="54"/>
      <c r="G9" s="54"/>
      <c r="I9" s="55" t="str">
        <f t="shared" si="1"/>
        <v/>
      </c>
      <c r="J9" s="55"/>
      <c r="K9" s="56" t="str">
        <f>IF(ISBLANK(G9),"",Calcul!O9-I9)</f>
        <v/>
      </c>
      <c r="L9" s="57" t="str">
        <f t="shared" si="0"/>
        <v/>
      </c>
    </row>
    <row r="10" spans="1:15" x14ac:dyDescent="0.25">
      <c r="B10" s="53"/>
      <c r="C10" s="54"/>
      <c r="E10" s="54"/>
      <c r="G10" s="54"/>
      <c r="I10" s="55" t="str">
        <f t="shared" si="1"/>
        <v/>
      </c>
      <c r="J10" s="55"/>
      <c r="K10" s="56" t="str">
        <f>IF(ISBLANK(G10),"",Calcul!O10-I10)</f>
        <v/>
      </c>
      <c r="L10" s="57" t="str">
        <f t="shared" si="0"/>
        <v/>
      </c>
    </row>
    <row r="11" spans="1:15" x14ac:dyDescent="0.25">
      <c r="B11" s="53"/>
      <c r="C11" s="54"/>
      <c r="E11" s="54"/>
      <c r="G11" s="54"/>
      <c r="I11" s="55" t="str">
        <f t="shared" si="1"/>
        <v/>
      </c>
      <c r="J11" s="55"/>
      <c r="K11" s="56" t="str">
        <f>IF(ISBLANK(G11),"",Calcul!O11-I11)</f>
        <v/>
      </c>
      <c r="L11" s="57" t="str">
        <f t="shared" si="0"/>
        <v/>
      </c>
    </row>
    <row r="12" spans="1:15" x14ac:dyDescent="0.25">
      <c r="B12" s="53"/>
      <c r="C12" s="54"/>
      <c r="E12" s="54"/>
      <c r="G12" s="54"/>
      <c r="I12" s="55" t="str">
        <f t="shared" si="1"/>
        <v/>
      </c>
      <c r="J12" s="55"/>
      <c r="K12" s="56" t="str">
        <f>IF(ISBLANK(G12),"",Calcul!O12-I12)</f>
        <v/>
      </c>
      <c r="L12" s="57" t="str">
        <f t="shared" si="0"/>
        <v/>
      </c>
    </row>
    <row r="13" spans="1:15" x14ac:dyDescent="0.25">
      <c r="B13" s="53"/>
      <c r="C13" s="54"/>
      <c r="E13" s="54"/>
      <c r="G13" s="54"/>
      <c r="I13" s="55" t="str">
        <f t="shared" si="1"/>
        <v/>
      </c>
      <c r="J13" s="55"/>
      <c r="K13" s="56" t="str">
        <f>IF(ISBLANK(G13),"",Calcul!O13-I13)</f>
        <v/>
      </c>
      <c r="L13" s="57" t="str">
        <f t="shared" si="0"/>
        <v/>
      </c>
    </row>
    <row r="14" spans="1:15" x14ac:dyDescent="0.25">
      <c r="B14" s="53"/>
      <c r="C14" s="54"/>
      <c r="E14" s="54"/>
      <c r="G14" s="54"/>
      <c r="I14" s="55" t="str">
        <f t="shared" si="1"/>
        <v/>
      </c>
      <c r="J14" s="55"/>
      <c r="K14" s="56" t="str">
        <f>IF(ISBLANK(G14),"",Calcul!O14-I14)</f>
        <v/>
      </c>
      <c r="L14" s="57" t="str">
        <f t="shared" si="0"/>
        <v/>
      </c>
    </row>
    <row r="15" spans="1:15" x14ac:dyDescent="0.25">
      <c r="B15" s="53"/>
      <c r="C15" s="54"/>
      <c r="E15" s="54"/>
      <c r="G15" s="54"/>
      <c r="I15" s="55" t="str">
        <f t="shared" si="1"/>
        <v/>
      </c>
      <c r="J15" s="55"/>
      <c r="K15" s="56" t="str">
        <f>IF(ISBLANK(G15),"",Calcul!O15-I15)</f>
        <v/>
      </c>
      <c r="L15" s="57" t="str">
        <f t="shared" si="0"/>
        <v/>
      </c>
    </row>
    <row r="16" spans="1:15" x14ac:dyDescent="0.25">
      <c r="B16" s="53"/>
      <c r="C16" s="54"/>
      <c r="E16" s="54"/>
      <c r="G16" s="54"/>
      <c r="I16" s="55" t="str">
        <f t="shared" si="1"/>
        <v/>
      </c>
      <c r="J16" s="55"/>
      <c r="K16" s="56" t="str">
        <f>IF(ISBLANK(G16),"",Calcul!O16-I16)</f>
        <v/>
      </c>
      <c r="L16" s="57" t="str">
        <f t="shared" si="0"/>
        <v/>
      </c>
    </row>
    <row r="17" spans="2:12" x14ac:dyDescent="0.25">
      <c r="B17" s="53"/>
      <c r="C17" s="54"/>
      <c r="E17" s="54"/>
      <c r="G17" s="54"/>
      <c r="I17" s="55" t="str">
        <f t="shared" si="1"/>
        <v/>
      </c>
      <c r="J17" s="55"/>
      <c r="K17" s="56" t="str">
        <f>IF(ISBLANK(G17),"",Calcul!O17-I17)</f>
        <v/>
      </c>
      <c r="L17" s="57" t="str">
        <f t="shared" si="0"/>
        <v/>
      </c>
    </row>
    <row r="18" spans="2:12" x14ac:dyDescent="0.25">
      <c r="B18" s="53"/>
      <c r="C18" s="54"/>
      <c r="E18" s="54"/>
      <c r="G18" s="54"/>
      <c r="I18" s="55" t="str">
        <f t="shared" si="1"/>
        <v/>
      </c>
      <c r="J18" s="55"/>
      <c r="K18" s="56" t="str">
        <f>IF(ISBLANK(G18),"",Calcul!O18-I18)</f>
        <v/>
      </c>
      <c r="L18" s="57" t="str">
        <f t="shared" si="0"/>
        <v/>
      </c>
    </row>
    <row r="19" spans="2:12" x14ac:dyDescent="0.25">
      <c r="B19" s="53"/>
      <c r="C19" s="54"/>
      <c r="E19" s="54"/>
      <c r="G19" s="54"/>
      <c r="I19" s="55" t="str">
        <f t="shared" si="1"/>
        <v/>
      </c>
      <c r="J19" s="55"/>
      <c r="K19" s="56" t="str">
        <f>IF(ISBLANK(G19),"",Calcul!O19-I19)</f>
        <v/>
      </c>
      <c r="L19" s="57" t="str">
        <f t="shared" si="0"/>
        <v/>
      </c>
    </row>
    <row r="20" spans="2:12" x14ac:dyDescent="0.25">
      <c r="B20" s="53"/>
      <c r="C20" s="54"/>
      <c r="E20" s="54"/>
      <c r="G20" s="54"/>
      <c r="I20" s="55" t="str">
        <f t="shared" si="1"/>
        <v/>
      </c>
      <c r="J20" s="55"/>
      <c r="K20" s="56" t="str">
        <f>IF(ISBLANK(G20),"",Calcul!O20-I20)</f>
        <v/>
      </c>
      <c r="L20" s="57" t="str">
        <f t="shared" si="0"/>
        <v/>
      </c>
    </row>
    <row r="21" spans="2:12" x14ac:dyDescent="0.25">
      <c r="B21" s="53"/>
      <c r="C21" s="54"/>
      <c r="E21" s="54"/>
      <c r="G21" s="54"/>
      <c r="I21" s="55" t="str">
        <f t="shared" si="1"/>
        <v/>
      </c>
      <c r="J21" s="55"/>
      <c r="K21" s="56" t="str">
        <f>IF(ISBLANK(G21),"",Calcul!O21-I21)</f>
        <v/>
      </c>
      <c r="L21" s="57" t="str">
        <f t="shared" si="0"/>
        <v/>
      </c>
    </row>
    <row r="22" spans="2:12" x14ac:dyDescent="0.25">
      <c r="B22" s="53"/>
      <c r="C22" s="54"/>
      <c r="E22" s="54"/>
      <c r="G22" s="54"/>
      <c r="I22" s="55" t="str">
        <f t="shared" si="1"/>
        <v/>
      </c>
      <c r="J22" s="55"/>
      <c r="K22" s="56" t="str">
        <f>IF(ISBLANK(G22),"",Calcul!O22-I22)</f>
        <v/>
      </c>
      <c r="L22" s="57" t="str">
        <f t="shared" si="0"/>
        <v/>
      </c>
    </row>
    <row r="23" spans="2:12" x14ac:dyDescent="0.25">
      <c r="B23" s="53"/>
      <c r="C23" s="54"/>
      <c r="E23" s="54"/>
      <c r="G23" s="54"/>
      <c r="I23" s="55" t="str">
        <f t="shared" si="1"/>
        <v/>
      </c>
      <c r="J23" s="55"/>
      <c r="K23" s="56" t="str">
        <f>IF(ISBLANK(G23),"",Calcul!O23-I23)</f>
        <v/>
      </c>
      <c r="L23" s="57" t="str">
        <f t="shared" si="0"/>
        <v/>
      </c>
    </row>
    <row r="24" spans="2:12" x14ac:dyDescent="0.25">
      <c r="B24" s="53"/>
      <c r="C24" s="54"/>
      <c r="E24" s="54"/>
      <c r="G24" s="54"/>
      <c r="I24" s="55" t="str">
        <f t="shared" si="1"/>
        <v/>
      </c>
      <c r="J24" s="55"/>
      <c r="K24" s="56" t="str">
        <f>IF(ISBLANK(G24),"",Calcul!O24-I24)</f>
        <v/>
      </c>
      <c r="L24" s="57" t="str">
        <f t="shared" si="0"/>
        <v/>
      </c>
    </row>
    <row r="25" spans="2:12" x14ac:dyDescent="0.25">
      <c r="B25" s="53"/>
      <c r="C25" s="54"/>
      <c r="E25" s="54"/>
      <c r="G25" s="54"/>
      <c r="I25" s="55" t="str">
        <f t="shared" si="1"/>
        <v/>
      </c>
      <c r="J25" s="55"/>
      <c r="K25" s="56" t="str">
        <f>IF(ISBLANK(G25),"",Calcul!O25-I25)</f>
        <v/>
      </c>
      <c r="L25" s="57" t="str">
        <f t="shared" si="0"/>
        <v/>
      </c>
    </row>
    <row r="26" spans="2:12" x14ac:dyDescent="0.25">
      <c r="B26" s="53"/>
      <c r="C26" s="54"/>
      <c r="E26" s="54"/>
      <c r="G26" s="54"/>
      <c r="I26" s="55" t="str">
        <f t="shared" si="1"/>
        <v/>
      </c>
      <c r="J26" s="55"/>
      <c r="K26" s="56" t="str">
        <f>IF(ISBLANK(G26),"",Calcul!O26-I26)</f>
        <v/>
      </c>
      <c r="L26" s="57" t="str">
        <f t="shared" si="0"/>
        <v/>
      </c>
    </row>
    <row r="27" spans="2:12" x14ac:dyDescent="0.25">
      <c r="B27" s="53"/>
      <c r="C27" s="54"/>
      <c r="E27" s="54"/>
      <c r="G27" s="54"/>
      <c r="I27" s="55" t="str">
        <f t="shared" si="1"/>
        <v/>
      </c>
      <c r="J27" s="55"/>
      <c r="K27" s="56" t="str">
        <f>IF(ISBLANK(G27),"",Calcul!O27-I27)</f>
        <v/>
      </c>
      <c r="L27" s="57" t="str">
        <f t="shared" si="0"/>
        <v/>
      </c>
    </row>
    <row r="28" spans="2:12" x14ac:dyDescent="0.25">
      <c r="B28" s="53"/>
      <c r="C28" s="54"/>
      <c r="E28" s="54"/>
      <c r="G28" s="54"/>
      <c r="I28" s="55" t="str">
        <f t="shared" si="1"/>
        <v/>
      </c>
      <c r="J28" s="55"/>
      <c r="K28" s="56" t="str">
        <f>IF(ISBLANK(G28),"",Calcul!O28-I28)</f>
        <v/>
      </c>
      <c r="L28" s="57" t="str">
        <f t="shared" si="0"/>
        <v/>
      </c>
    </row>
    <row r="29" spans="2:12" x14ac:dyDescent="0.25">
      <c r="B29" s="53"/>
      <c r="C29" s="54"/>
      <c r="E29" s="54"/>
      <c r="G29" s="54"/>
      <c r="I29" s="55" t="str">
        <f t="shared" si="1"/>
        <v/>
      </c>
      <c r="J29" s="55"/>
      <c r="K29" s="56" t="str">
        <f>IF(ISBLANK(G29),"",Calcul!O29-I29)</f>
        <v/>
      </c>
      <c r="L29" s="57" t="str">
        <f t="shared" si="0"/>
        <v/>
      </c>
    </row>
    <row r="30" spans="2:12" x14ac:dyDescent="0.25">
      <c r="B30" s="53"/>
      <c r="C30" s="54"/>
      <c r="E30" s="54"/>
      <c r="G30" s="54"/>
      <c r="I30" s="55" t="str">
        <f t="shared" si="1"/>
        <v/>
      </c>
      <c r="J30" s="55"/>
      <c r="K30" s="56" t="str">
        <f>IF(ISBLANK(G30),"",Calcul!O30-I30)</f>
        <v/>
      </c>
      <c r="L30" s="57" t="str">
        <f t="shared" si="0"/>
        <v/>
      </c>
    </row>
    <row r="31" spans="2:12" x14ac:dyDescent="0.25">
      <c r="B31" s="53"/>
      <c r="C31" s="54"/>
      <c r="E31" s="54"/>
      <c r="G31" s="54"/>
      <c r="I31" s="55" t="str">
        <f t="shared" si="1"/>
        <v/>
      </c>
      <c r="J31" s="55"/>
      <c r="K31" s="56" t="str">
        <f>IF(ISBLANK(G31),"",Calcul!O31-I31)</f>
        <v/>
      </c>
      <c r="L31" s="57" t="str">
        <f t="shared" si="0"/>
        <v/>
      </c>
    </row>
    <row r="32" spans="2:12" x14ac:dyDescent="0.25">
      <c r="B32" s="53"/>
      <c r="C32" s="54"/>
      <c r="E32" s="54"/>
      <c r="G32" s="54"/>
      <c r="I32" s="55" t="str">
        <f t="shared" si="1"/>
        <v/>
      </c>
      <c r="J32" s="55"/>
      <c r="K32" s="56" t="str">
        <f>IF(ISBLANK(G32),"",Calcul!O32-I32)</f>
        <v/>
      </c>
      <c r="L32" s="57" t="str">
        <f t="shared" si="0"/>
        <v/>
      </c>
    </row>
    <row r="33" spans="2:12" x14ac:dyDescent="0.25">
      <c r="B33" s="53"/>
      <c r="C33" s="54"/>
      <c r="E33" s="54"/>
      <c r="G33" s="54"/>
      <c r="I33" s="55" t="str">
        <f t="shared" si="1"/>
        <v/>
      </c>
      <c r="J33" s="55"/>
      <c r="K33" s="56" t="str">
        <f>IF(ISBLANK(G33),"",Calcul!O33-I33)</f>
        <v/>
      </c>
      <c r="L33" s="57" t="str">
        <f t="shared" si="0"/>
        <v/>
      </c>
    </row>
    <row r="34" spans="2:12" x14ac:dyDescent="0.25">
      <c r="B34" s="53"/>
      <c r="C34" s="54"/>
      <c r="E34" s="54"/>
      <c r="G34" s="54"/>
      <c r="I34" s="55" t="str">
        <f t="shared" si="1"/>
        <v/>
      </c>
      <c r="J34" s="55"/>
      <c r="K34" s="56" t="str">
        <f>IF(ISBLANK(G34),"",Calcul!O34-I34)</f>
        <v/>
      </c>
      <c r="L34" s="57" t="str">
        <f t="shared" si="0"/>
        <v/>
      </c>
    </row>
    <row r="35" spans="2:12" x14ac:dyDescent="0.25">
      <c r="B35" s="53"/>
      <c r="C35" s="54"/>
      <c r="E35" s="54"/>
      <c r="G35" s="54"/>
      <c r="I35" s="55" t="str">
        <f t="shared" si="1"/>
        <v/>
      </c>
      <c r="J35" s="55"/>
      <c r="K35" s="56" t="str">
        <f>IF(ISBLANK(G35),"",Calcul!O35-I35)</f>
        <v/>
      </c>
      <c r="L35" s="57" t="str">
        <f t="shared" si="0"/>
        <v/>
      </c>
    </row>
    <row r="36" spans="2:12" x14ac:dyDescent="0.25">
      <c r="B36" s="53"/>
      <c r="C36" s="54"/>
      <c r="E36" s="54"/>
      <c r="G36" s="54"/>
      <c r="I36" s="55" t="str">
        <f t="shared" si="1"/>
        <v/>
      </c>
      <c r="J36" s="55"/>
      <c r="K36" s="56" t="str">
        <f>IF(ISBLANK(G36),"",Calcul!O36-I36)</f>
        <v/>
      </c>
      <c r="L36" s="57" t="str">
        <f t="shared" si="0"/>
        <v/>
      </c>
    </row>
    <row r="37" spans="2:12" x14ac:dyDescent="0.25">
      <c r="B37" s="53"/>
      <c r="C37" s="54"/>
      <c r="E37" s="54"/>
      <c r="G37" s="54"/>
      <c r="I37" s="55" t="str">
        <f t="shared" si="1"/>
        <v/>
      </c>
      <c r="J37" s="55"/>
      <c r="K37" s="56" t="str">
        <f>IF(ISBLANK(G37),"",Calcul!O37-I37)</f>
        <v/>
      </c>
      <c r="L37" s="57" t="str">
        <f t="shared" si="0"/>
        <v/>
      </c>
    </row>
    <row r="38" spans="2:12" x14ac:dyDescent="0.25">
      <c r="B38" s="53"/>
      <c r="C38" s="54"/>
      <c r="E38" s="54"/>
      <c r="G38" s="54"/>
      <c r="I38" s="55" t="str">
        <f t="shared" si="1"/>
        <v/>
      </c>
      <c r="J38" s="55"/>
      <c r="K38" s="56" t="str">
        <f>IF(ISBLANK(G38),"",Calcul!O38-I38)</f>
        <v/>
      </c>
      <c r="L38" s="57" t="str">
        <f t="shared" si="0"/>
        <v/>
      </c>
    </row>
    <row r="39" spans="2:12" x14ac:dyDescent="0.25">
      <c r="B39" s="53"/>
      <c r="C39" s="54"/>
      <c r="E39" s="54"/>
      <c r="G39" s="54"/>
      <c r="I39" s="55" t="str">
        <f t="shared" si="1"/>
        <v/>
      </c>
      <c r="J39" s="55"/>
      <c r="K39" s="56" t="str">
        <f>IF(ISBLANK(G39),"",Calcul!O39-I39)</f>
        <v/>
      </c>
      <c r="L39" s="57" t="str">
        <f t="shared" si="0"/>
        <v/>
      </c>
    </row>
    <row r="40" spans="2:12" x14ac:dyDescent="0.25">
      <c r="B40" s="53"/>
      <c r="C40" s="54"/>
      <c r="E40" s="54"/>
      <c r="G40" s="54"/>
      <c r="I40" s="55" t="str">
        <f t="shared" si="1"/>
        <v/>
      </c>
      <c r="J40" s="55"/>
      <c r="K40" s="56" t="str">
        <f>IF(ISBLANK(G40),"",Calcul!O40-I40)</f>
        <v/>
      </c>
      <c r="L40" s="57" t="str">
        <f t="shared" si="0"/>
        <v/>
      </c>
    </row>
    <row r="41" spans="2:12" x14ac:dyDescent="0.25">
      <c r="B41" s="53"/>
      <c r="C41" s="54"/>
      <c r="E41" s="54"/>
      <c r="G41" s="54"/>
      <c r="I41" s="55" t="str">
        <f t="shared" si="1"/>
        <v/>
      </c>
      <c r="J41" s="55"/>
      <c r="K41" s="56" t="str">
        <f>IF(ISBLANK(G41),"",Calcul!O41-I41)</f>
        <v/>
      </c>
      <c r="L41" s="57" t="str">
        <f t="shared" si="0"/>
        <v/>
      </c>
    </row>
    <row r="42" spans="2:12" x14ac:dyDescent="0.25">
      <c r="B42" s="53"/>
      <c r="C42" s="54"/>
      <c r="E42" s="54"/>
      <c r="G42" s="54"/>
      <c r="I42" s="55" t="str">
        <f t="shared" si="1"/>
        <v/>
      </c>
      <c r="J42" s="55"/>
      <c r="K42" s="56" t="str">
        <f>IF(ISBLANK(G42),"",Calcul!O42-I42)</f>
        <v/>
      </c>
      <c r="L42" s="57" t="str">
        <f t="shared" si="0"/>
        <v/>
      </c>
    </row>
  </sheetData>
  <mergeCells count="10">
    <mergeCell ref="K1:K2"/>
    <mergeCell ref="L1:L2"/>
    <mergeCell ref="C1:D1"/>
    <mergeCell ref="E1:F1"/>
    <mergeCell ref="A1:A2"/>
    <mergeCell ref="B1:B2"/>
    <mergeCell ref="G1:G2"/>
    <mergeCell ref="H1:H2"/>
    <mergeCell ref="I1:I2"/>
    <mergeCell ref="J1:J2"/>
  </mergeCells>
  <conditionalFormatting sqref="K3:K42">
    <cfRule type="cellIs" dxfId="8" priority="3" operator="lessThanOrEqual">
      <formula>0</formula>
    </cfRule>
    <cfRule type="cellIs" dxfId="7" priority="4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greaterThanOrEqual" id="{17EAD50A-050D-4FB8-AB7E-07580CDFCD78}">
            <xm:f>Calcul!$O$3</xm:f>
            <x14:dxf>
              <numFmt numFmtId="1" formatCode="0"/>
              <fill>
                <patternFill>
                  <bgColor rgb="FF92D050"/>
                </patternFill>
              </fill>
            </x14:dxf>
          </x14:cfRule>
          <x14:cfRule type="cellIs" priority="5" operator="lessThan" id="{FCD2489D-4CB8-4129-A101-CAABDDB6DB02}">
            <xm:f>Calcul!$O$3</xm:f>
            <x14:dxf>
              <font>
                <color rgb="FF9C0006"/>
              </font>
              <numFmt numFmtId="1" formatCode="0"/>
              <fill>
                <patternFill>
                  <bgColor rgb="FFFFC7CE"/>
                </patternFill>
              </fill>
            </x14:dxf>
          </x14:cfRule>
          <xm:sqref>I3:J42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G14"/>
  <sheetViews>
    <sheetView workbookViewId="0">
      <selection activeCell="E26" sqref="E26"/>
    </sheetView>
  </sheetViews>
  <sheetFormatPr baseColWidth="10" defaultRowHeight="15" x14ac:dyDescent="0.2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 x14ac:dyDescent="0.25">
      <c r="A3" t="s">
        <v>71</v>
      </c>
      <c r="B3" t="s">
        <v>72</v>
      </c>
      <c r="C3" t="s">
        <v>73</v>
      </c>
      <c r="D3" t="s">
        <v>74</v>
      </c>
      <c r="E3" s="3" t="s">
        <v>75</v>
      </c>
      <c r="F3" t="s">
        <v>76</v>
      </c>
      <c r="G3" t="s">
        <v>77</v>
      </c>
    </row>
    <row r="4" spans="1:7" x14ac:dyDescent="0.25">
      <c r="A4" t="s">
        <v>0</v>
      </c>
      <c r="B4" t="s">
        <v>1</v>
      </c>
      <c r="C4" t="s">
        <v>2</v>
      </c>
      <c r="D4" t="s">
        <v>3</v>
      </c>
      <c r="E4" s="3" t="s">
        <v>4</v>
      </c>
      <c r="F4" t="s">
        <v>5</v>
      </c>
      <c r="G4" t="s">
        <v>6</v>
      </c>
    </row>
    <row r="5" spans="1:7" x14ac:dyDescent="0.25">
      <c r="C5" t="s">
        <v>7</v>
      </c>
      <c r="D5" t="s">
        <v>8</v>
      </c>
      <c r="E5" t="s">
        <v>9</v>
      </c>
      <c r="F5" t="s">
        <v>10</v>
      </c>
      <c r="G5" t="s">
        <v>11</v>
      </c>
    </row>
    <row r="6" spans="1:7" ht="15.75" x14ac:dyDescent="0.3">
      <c r="A6">
        <f>B6*10*0.036</f>
        <v>0</v>
      </c>
      <c r="B6">
        <v>0</v>
      </c>
      <c r="C6" t="s">
        <v>12</v>
      </c>
      <c r="D6" t="s">
        <v>50</v>
      </c>
      <c r="E6" t="s">
        <v>51</v>
      </c>
      <c r="F6" s="1" t="s">
        <v>13</v>
      </c>
    </row>
    <row r="7" spans="1:7" ht="15.75" x14ac:dyDescent="0.3">
      <c r="A7">
        <f t="shared" ref="A7:A14" si="0">B7*10*0.036</f>
        <v>0.36</v>
      </c>
      <c r="B7">
        <v>1</v>
      </c>
      <c r="C7" t="s">
        <v>14</v>
      </c>
      <c r="D7" t="s">
        <v>15</v>
      </c>
      <c r="E7" s="1" t="s">
        <v>16</v>
      </c>
      <c r="F7" s="1" t="s">
        <v>17</v>
      </c>
    </row>
    <row r="8" spans="1:7" ht="15.75" x14ac:dyDescent="0.3">
      <c r="A8">
        <f t="shared" si="0"/>
        <v>1.0799999999999998</v>
      </c>
      <c r="B8">
        <v>3</v>
      </c>
      <c r="C8" t="s">
        <v>18</v>
      </c>
      <c r="D8" s="2" t="s">
        <v>19</v>
      </c>
      <c r="E8" s="1" t="s">
        <v>20</v>
      </c>
      <c r="F8" s="1" t="s">
        <v>21</v>
      </c>
    </row>
    <row r="9" spans="1:7" ht="15.75" x14ac:dyDescent="0.3">
      <c r="A9">
        <f t="shared" si="0"/>
        <v>2.1599999999999997</v>
      </c>
      <c r="B9">
        <v>6</v>
      </c>
      <c r="C9" t="s">
        <v>22</v>
      </c>
      <c r="D9" s="1" t="s">
        <v>23</v>
      </c>
      <c r="E9" s="1" t="s">
        <v>24</v>
      </c>
      <c r="F9" s="1" t="s">
        <v>25</v>
      </c>
    </row>
    <row r="10" spans="1:7" ht="15.75" x14ac:dyDescent="0.3">
      <c r="A10">
        <f t="shared" si="0"/>
        <v>3.5999999999999996</v>
      </c>
      <c r="B10">
        <v>10</v>
      </c>
      <c r="C10" t="s">
        <v>26</v>
      </c>
      <c r="D10" s="1" t="s">
        <v>27</v>
      </c>
      <c r="E10" t="s">
        <v>28</v>
      </c>
      <c r="F10" s="1" t="s">
        <v>69</v>
      </c>
      <c r="G10" s="1" t="s">
        <v>29</v>
      </c>
    </row>
    <row r="11" spans="1:7" ht="15.75" x14ac:dyDescent="0.3">
      <c r="A11">
        <f t="shared" si="0"/>
        <v>5.76</v>
      </c>
      <c r="B11">
        <v>16</v>
      </c>
      <c r="C11" t="s">
        <v>30</v>
      </c>
      <c r="D11" s="1" t="s">
        <v>31</v>
      </c>
      <c r="E11" s="1" t="s">
        <v>67</v>
      </c>
      <c r="G11" t="s">
        <v>33</v>
      </c>
    </row>
    <row r="12" spans="1:7" x14ac:dyDescent="0.25">
      <c r="A12">
        <f t="shared" si="0"/>
        <v>7.1999999999999993</v>
      </c>
      <c r="B12">
        <v>20</v>
      </c>
      <c r="C12" t="s">
        <v>36</v>
      </c>
      <c r="G12" t="s">
        <v>35</v>
      </c>
    </row>
    <row r="13" spans="1:7" ht="15.75" x14ac:dyDescent="0.3">
      <c r="A13">
        <f t="shared" si="0"/>
        <v>14.399999999999999</v>
      </c>
      <c r="B13">
        <v>40</v>
      </c>
      <c r="E13" s="1" t="s">
        <v>32</v>
      </c>
    </row>
    <row r="14" spans="1:7" ht="15.75" x14ac:dyDescent="0.3">
      <c r="A14">
        <f t="shared" si="0"/>
        <v>21.599999999999998</v>
      </c>
      <c r="B14">
        <v>60</v>
      </c>
      <c r="E14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M52"/>
  <sheetViews>
    <sheetView topLeftCell="B25" zoomScaleNormal="100" workbookViewId="0">
      <selection activeCell="E26" sqref="E26"/>
    </sheetView>
  </sheetViews>
  <sheetFormatPr baseColWidth="10" defaultRowHeight="15" x14ac:dyDescent="0.25"/>
  <cols>
    <col min="2" max="2" width="14.5703125" bestFit="1" customWidth="1"/>
    <col min="3" max="3" width="24" bestFit="1" customWidth="1"/>
    <col min="4" max="4" width="2.140625" bestFit="1" customWidth="1"/>
    <col min="5" max="5" width="32.28515625" bestFit="1" customWidth="1"/>
    <col min="6" max="6" width="3.42578125" customWidth="1"/>
    <col min="7" max="7" width="19.28515625" bestFit="1" customWidth="1"/>
    <col min="8" max="8" width="19.28515625" customWidth="1"/>
    <col min="9" max="9" width="22.5703125" bestFit="1" customWidth="1"/>
    <col min="10" max="10" width="4" customWidth="1"/>
    <col min="11" max="11" width="32.28515625" bestFit="1" customWidth="1"/>
    <col min="12" max="12" width="17.42578125" bestFit="1" customWidth="1"/>
    <col min="13" max="13" width="23.28515625" bestFit="1" customWidth="1"/>
  </cols>
  <sheetData>
    <row r="1" spans="2:13" x14ac:dyDescent="0.25">
      <c r="G1" s="91" t="s">
        <v>114</v>
      </c>
      <c r="H1" s="91"/>
      <c r="I1" s="91"/>
      <c r="K1" s="91" t="s">
        <v>117</v>
      </c>
      <c r="L1" s="91"/>
      <c r="M1" s="91"/>
    </row>
    <row r="2" spans="2:13" x14ac:dyDescent="0.25">
      <c r="B2" t="s">
        <v>78</v>
      </c>
      <c r="C2" t="s">
        <v>79</v>
      </c>
      <c r="D2" t="s">
        <v>113</v>
      </c>
      <c r="E2" t="s">
        <v>80</v>
      </c>
      <c r="H2" t="s">
        <v>115</v>
      </c>
      <c r="I2" t="s">
        <v>116</v>
      </c>
      <c r="L2" t="s">
        <v>115</v>
      </c>
      <c r="M2" t="s">
        <v>116</v>
      </c>
    </row>
    <row r="3" spans="2:13" x14ac:dyDescent="0.25">
      <c r="G3" t="s">
        <v>103</v>
      </c>
      <c r="K3" t="s">
        <v>81</v>
      </c>
    </row>
    <row r="4" spans="2:13" x14ac:dyDescent="0.25">
      <c r="G4" t="s">
        <v>106</v>
      </c>
      <c r="K4" t="s">
        <v>111</v>
      </c>
    </row>
    <row r="5" spans="2:13" x14ac:dyDescent="0.25">
      <c r="K5" t="s">
        <v>82</v>
      </c>
    </row>
    <row r="6" spans="2:13" x14ac:dyDescent="0.25">
      <c r="K6" t="s">
        <v>110</v>
      </c>
    </row>
    <row r="7" spans="2:13" x14ac:dyDescent="0.25">
      <c r="K7" t="s">
        <v>106</v>
      </c>
    </row>
    <row r="8" spans="2:13" x14ac:dyDescent="0.25">
      <c r="K8" t="s">
        <v>83</v>
      </c>
    </row>
    <row r="9" spans="2:13" x14ac:dyDescent="0.25">
      <c r="E9" t="s">
        <v>101</v>
      </c>
    </row>
    <row r="10" spans="2:13" x14ac:dyDescent="0.25">
      <c r="E10" t="s">
        <v>84</v>
      </c>
    </row>
    <row r="11" spans="2:13" x14ac:dyDescent="0.25">
      <c r="K11" t="s">
        <v>99</v>
      </c>
    </row>
    <row r="12" spans="2:13" x14ac:dyDescent="0.25">
      <c r="G12" t="s">
        <v>85</v>
      </c>
      <c r="K12" t="s">
        <v>85</v>
      </c>
    </row>
    <row r="13" spans="2:13" x14ac:dyDescent="0.25">
      <c r="K13" t="s">
        <v>100</v>
      </c>
    </row>
    <row r="14" spans="2:13" x14ac:dyDescent="0.25">
      <c r="K14" t="s">
        <v>86</v>
      </c>
    </row>
    <row r="15" spans="2:13" x14ac:dyDescent="0.25">
      <c r="K15" t="s">
        <v>87</v>
      </c>
    </row>
    <row r="16" spans="2:13" x14ac:dyDescent="0.25">
      <c r="E16" t="s">
        <v>88</v>
      </c>
    </row>
    <row r="17" spans="5:13" x14ac:dyDescent="0.25">
      <c r="E17" t="s">
        <v>89</v>
      </c>
    </row>
    <row r="18" spans="5:13" x14ac:dyDescent="0.25">
      <c r="E18" t="s">
        <v>90</v>
      </c>
    </row>
    <row r="19" spans="5:13" x14ac:dyDescent="0.25">
      <c r="E19" t="s">
        <v>91</v>
      </c>
    </row>
    <row r="20" spans="5:13" x14ac:dyDescent="0.25">
      <c r="E20" t="s">
        <v>92</v>
      </c>
    </row>
    <row r="21" spans="5:13" x14ac:dyDescent="0.25">
      <c r="E21" t="s">
        <v>93</v>
      </c>
    </row>
    <row r="22" spans="5:13" x14ac:dyDescent="0.25">
      <c r="E22" t="s">
        <v>94</v>
      </c>
    </row>
    <row r="23" spans="5:13" x14ac:dyDescent="0.25">
      <c r="E23" t="s">
        <v>95</v>
      </c>
    </row>
    <row r="24" spans="5:13" x14ac:dyDescent="0.25">
      <c r="K24" t="s">
        <v>96</v>
      </c>
    </row>
    <row r="25" spans="5:13" x14ac:dyDescent="0.25">
      <c r="M25" t="s">
        <v>101</v>
      </c>
    </row>
    <row r="26" spans="5:13" x14ac:dyDescent="0.25">
      <c r="M26" t="s">
        <v>118</v>
      </c>
    </row>
    <row r="27" spans="5:13" x14ac:dyDescent="0.25">
      <c r="M27" t="s">
        <v>119</v>
      </c>
    </row>
    <row r="28" spans="5:13" x14ac:dyDescent="0.25">
      <c r="M28" t="s">
        <v>101</v>
      </c>
    </row>
    <row r="29" spans="5:13" x14ac:dyDescent="0.25">
      <c r="M29" t="s">
        <v>122</v>
      </c>
    </row>
    <row r="30" spans="5:13" x14ac:dyDescent="0.25">
      <c r="M30" t="s">
        <v>112</v>
      </c>
    </row>
    <row r="31" spans="5:13" x14ac:dyDescent="0.25">
      <c r="M31" t="s">
        <v>101</v>
      </c>
    </row>
    <row r="32" spans="5:13" x14ac:dyDescent="0.25">
      <c r="M32" t="s">
        <v>118</v>
      </c>
    </row>
    <row r="33" spans="5:13" s="5" customFormat="1" x14ac:dyDescent="0.25">
      <c r="M33" s="4" t="s">
        <v>120</v>
      </c>
    </row>
    <row r="34" spans="5:13" s="5" customFormat="1" x14ac:dyDescent="0.25">
      <c r="M34" s="4" t="s">
        <v>101</v>
      </c>
    </row>
    <row r="35" spans="5:13" s="5" customFormat="1" x14ac:dyDescent="0.25">
      <c r="M35" s="4" t="s">
        <v>121</v>
      </c>
    </row>
    <row r="36" spans="5:13" x14ac:dyDescent="0.25">
      <c r="K36" t="s">
        <v>97</v>
      </c>
    </row>
    <row r="37" spans="5:13" x14ac:dyDescent="0.25">
      <c r="K37" t="s">
        <v>108</v>
      </c>
    </row>
    <row r="38" spans="5:13" x14ac:dyDescent="0.25">
      <c r="K38" t="s">
        <v>110</v>
      </c>
    </row>
    <row r="39" spans="5:13" x14ac:dyDescent="0.25">
      <c r="K39" t="s">
        <v>83</v>
      </c>
    </row>
    <row r="40" spans="5:13" x14ac:dyDescent="0.25">
      <c r="H40" t="s">
        <v>98</v>
      </c>
      <c r="L40" t="s">
        <v>98</v>
      </c>
    </row>
    <row r="41" spans="5:13" x14ac:dyDescent="0.25">
      <c r="L41" t="s">
        <v>99</v>
      </c>
    </row>
    <row r="42" spans="5:13" x14ac:dyDescent="0.25">
      <c r="L42" t="s">
        <v>100</v>
      </c>
    </row>
    <row r="43" spans="5:13" x14ac:dyDescent="0.25">
      <c r="G43" t="s">
        <v>101</v>
      </c>
      <c r="I43" t="s">
        <v>101</v>
      </c>
    </row>
    <row r="44" spans="5:13" x14ac:dyDescent="0.25">
      <c r="I44" t="s">
        <v>102</v>
      </c>
    </row>
    <row r="45" spans="5:13" x14ac:dyDescent="0.25">
      <c r="I45" t="s">
        <v>57</v>
      </c>
    </row>
    <row r="46" spans="5:13" x14ac:dyDescent="0.25">
      <c r="I46" t="s">
        <v>112</v>
      </c>
    </row>
    <row r="47" spans="5:13" x14ac:dyDescent="0.25">
      <c r="I47" t="s">
        <v>103</v>
      </c>
    </row>
    <row r="48" spans="5:13" x14ac:dyDescent="0.25">
      <c r="E48" t="s">
        <v>109</v>
      </c>
    </row>
    <row r="49" spans="5:5" x14ac:dyDescent="0.25">
      <c r="E49" t="s">
        <v>104</v>
      </c>
    </row>
    <row r="50" spans="5:5" x14ac:dyDescent="0.25">
      <c r="E50" t="s">
        <v>105</v>
      </c>
    </row>
    <row r="51" spans="5:5" x14ac:dyDescent="0.25">
      <c r="E51" t="s">
        <v>106</v>
      </c>
    </row>
    <row r="52" spans="5:5" x14ac:dyDescent="0.25">
      <c r="E52" t="s">
        <v>107</v>
      </c>
    </row>
  </sheetData>
  <mergeCells count="2">
    <mergeCell ref="G1:I1"/>
    <mergeCell ref="K1:M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K11" sqref="K11"/>
    </sheetView>
  </sheetViews>
  <sheetFormatPr baseColWidth="10" defaultRowHeight="15" x14ac:dyDescent="0.25"/>
  <sheetData>
    <row r="1" spans="1:15" ht="19.5" thickBot="1" x14ac:dyDescent="0.35">
      <c r="A1" s="92" t="s">
        <v>133</v>
      </c>
      <c r="B1" s="92"/>
      <c r="C1" s="92"/>
      <c r="D1" s="92"/>
      <c r="E1" s="92"/>
      <c r="F1" s="92"/>
      <c r="G1" s="92"/>
      <c r="J1" s="14" t="s">
        <v>128</v>
      </c>
      <c r="K1" s="14" t="s">
        <v>129</v>
      </c>
    </row>
    <row r="2" spans="1:15" ht="15.75" thickBot="1" x14ac:dyDescent="0.3">
      <c r="A2" s="6" t="s">
        <v>126</v>
      </c>
      <c r="B2" s="93">
        <v>499</v>
      </c>
      <c r="C2" s="95">
        <v>999</v>
      </c>
      <c r="D2" s="95">
        <v>1499</v>
      </c>
      <c r="E2" s="95">
        <v>1999</v>
      </c>
      <c r="F2" s="95">
        <v>3999</v>
      </c>
      <c r="G2" s="97">
        <v>8000</v>
      </c>
      <c r="J2">
        <f>Calcul!G2</f>
        <v>640</v>
      </c>
      <c r="K2">
        <f>Calcul!G1</f>
        <v>20</v>
      </c>
    </row>
    <row r="3" spans="1:15" ht="15.75" thickBot="1" x14ac:dyDescent="0.3">
      <c r="A3" s="7" t="s">
        <v>127</v>
      </c>
      <c r="B3" s="94"/>
      <c r="C3" s="96"/>
      <c r="D3" s="96"/>
      <c r="E3" s="96"/>
      <c r="F3" s="96"/>
      <c r="G3" s="98"/>
      <c r="J3">
        <f>HLOOKUP(J2,B2:G2,1)</f>
        <v>499</v>
      </c>
      <c r="K3">
        <f>VLOOKUP(K2,A4:A13,1)</f>
        <v>20</v>
      </c>
      <c r="L3" t="s">
        <v>135</v>
      </c>
      <c r="O3">
        <f>2.2/0.036</f>
        <v>61.111111111111121</v>
      </c>
    </row>
    <row r="4" spans="1:15" x14ac:dyDescent="0.25">
      <c r="A4" s="15">
        <v>1</v>
      </c>
      <c r="B4" s="8">
        <v>0.03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J4">
        <f>MATCH(J3,B2:G2)+1</f>
        <v>2</v>
      </c>
      <c r="K4">
        <f>MATCH(K3,A4:A13,1)+1</f>
        <v>6</v>
      </c>
      <c r="L4" t="s">
        <v>136</v>
      </c>
    </row>
    <row r="5" spans="1:15" x14ac:dyDescent="0.25">
      <c r="A5" s="18">
        <v>5</v>
      </c>
      <c r="B5" s="8">
        <v>0.05</v>
      </c>
      <c r="C5" s="9">
        <v>0.06</v>
      </c>
      <c r="D5" s="9">
        <v>0</v>
      </c>
      <c r="E5" s="9">
        <v>0</v>
      </c>
      <c r="F5" s="9">
        <v>0</v>
      </c>
      <c r="G5" s="9">
        <v>0</v>
      </c>
    </row>
    <row r="6" spans="1:15" x14ac:dyDescent="0.25">
      <c r="A6" s="17">
        <v>10</v>
      </c>
      <c r="B6" s="8">
        <v>0.08</v>
      </c>
      <c r="C6" s="9">
        <v>0.15</v>
      </c>
      <c r="D6" s="9">
        <v>0.35</v>
      </c>
      <c r="E6" s="9">
        <v>0</v>
      </c>
      <c r="F6" s="9">
        <v>0</v>
      </c>
      <c r="G6" s="9">
        <v>0</v>
      </c>
      <c r="J6">
        <f>INDEX(B4:G13,K4,J4)</f>
        <v>0.75</v>
      </c>
      <c r="K6">
        <f>IF(ISNA(J6),0, ROUNDUP( J6/0.036,0))</f>
        <v>21</v>
      </c>
      <c r="L6" t="s">
        <v>130</v>
      </c>
    </row>
    <row r="7" spans="1:15" x14ac:dyDescent="0.25">
      <c r="A7" s="17">
        <v>15</v>
      </c>
      <c r="B7" s="8">
        <v>0.1</v>
      </c>
      <c r="C7" s="9">
        <v>0.35</v>
      </c>
      <c r="D7" s="9">
        <v>0.42</v>
      </c>
      <c r="E7" s="9">
        <v>0.5</v>
      </c>
      <c r="F7" s="9">
        <v>0</v>
      </c>
      <c r="G7" s="9">
        <v>0</v>
      </c>
      <c r="K7">
        <f>IF(OR(J2&gt;1000,K2&gt;=20),ROUNDUP(K6*1.5,0),1)</f>
        <v>32</v>
      </c>
      <c r="L7" t="s">
        <v>131</v>
      </c>
    </row>
    <row r="8" spans="1:15" x14ac:dyDescent="0.25">
      <c r="A8" s="17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>
        <v>0</v>
      </c>
    </row>
    <row r="9" spans="1:15" x14ac:dyDescent="0.25">
      <c r="A9" s="15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2.2000000000000002</v>
      </c>
      <c r="G9" s="12">
        <v>3</v>
      </c>
    </row>
    <row r="10" spans="1:15" x14ac:dyDescent="0.25">
      <c r="A10" s="15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  <c r="J10">
        <f>K2</f>
        <v>20</v>
      </c>
      <c r="K10">
        <f>ROUNDUP(-0.0019*J10+1.03*J10+0.2414,0)</f>
        <v>21</v>
      </c>
      <c r="L10">
        <f>K10*0.036</f>
        <v>0.75599999999999989</v>
      </c>
    </row>
    <row r="11" spans="1:15" x14ac:dyDescent="0.25">
      <c r="A11" s="15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  <c r="K11">
        <f>IF(OR(J2&gt;1000,K10&gt;=20),ROUNDUP(J10*0.8,0),1)</f>
        <v>16</v>
      </c>
    </row>
    <row r="12" spans="1:15" x14ac:dyDescent="0.25">
      <c r="A12" s="15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</row>
    <row r="13" spans="1:15" ht="15.75" thickBot="1" x14ac:dyDescent="0.3">
      <c r="A13" s="16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V500"/>
  <sheetViews>
    <sheetView topLeftCell="E1" workbookViewId="0">
      <selection activeCell="K8" sqref="K8"/>
    </sheetView>
  </sheetViews>
  <sheetFormatPr baseColWidth="10" defaultRowHeight="15" x14ac:dyDescent="0.25"/>
  <cols>
    <col min="15" max="15" width="15.28515625" bestFit="1" customWidth="1"/>
    <col min="18" max="18" width="12" bestFit="1" customWidth="1"/>
  </cols>
  <sheetData>
    <row r="1" spans="1:22" ht="19.5" thickBot="1" x14ac:dyDescent="0.35">
      <c r="A1" s="92" t="s">
        <v>132</v>
      </c>
      <c r="B1" s="92"/>
      <c r="C1" s="92"/>
      <c r="D1" s="92"/>
      <c r="E1" s="92"/>
      <c r="F1" s="92"/>
      <c r="G1" s="92"/>
      <c r="J1" s="14" t="s">
        <v>128</v>
      </c>
      <c r="K1" s="14" t="s">
        <v>129</v>
      </c>
      <c r="P1" t="s">
        <v>150</v>
      </c>
      <c r="Q1" t="s">
        <v>0</v>
      </c>
      <c r="T1">
        <v>1</v>
      </c>
      <c r="U1">
        <v>4</v>
      </c>
      <c r="V1">
        <f>U1*0.036</f>
        <v>0.14399999999999999</v>
      </c>
    </row>
    <row r="2" spans="1:22" ht="15.75" thickBot="1" x14ac:dyDescent="0.3">
      <c r="A2" s="6" t="s">
        <v>126</v>
      </c>
      <c r="B2" s="93">
        <v>500</v>
      </c>
      <c r="C2" s="95">
        <v>999</v>
      </c>
      <c r="D2" s="95">
        <v>1499</v>
      </c>
      <c r="E2" s="95">
        <v>1999</v>
      </c>
      <c r="F2" s="95">
        <v>3999</v>
      </c>
      <c r="G2" s="97">
        <v>8000</v>
      </c>
      <c r="J2">
        <f>Calcul!G2</f>
        <v>640</v>
      </c>
      <c r="K2">
        <f>Calcul!G1</f>
        <v>20</v>
      </c>
      <c r="L2">
        <f>J2*K2</f>
        <v>12800</v>
      </c>
      <c r="M2">
        <f>J2*0.02+16</f>
        <v>28.8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 x14ac:dyDescent="0.3">
      <c r="A3" s="7" t="s">
        <v>127</v>
      </c>
      <c r="B3" s="94"/>
      <c r="C3" s="96"/>
      <c r="D3" s="96"/>
      <c r="E3" s="96"/>
      <c r="F3" s="96"/>
      <c r="G3" s="98"/>
      <c r="J3">
        <f>HLOOKUP(J2,B2:G2,1)</f>
        <v>500</v>
      </c>
      <c r="K3">
        <f>VLOOKUP(K2,A4:A13,1)</f>
        <v>20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 x14ac:dyDescent="0.25">
      <c r="A4" s="18">
        <v>1</v>
      </c>
      <c r="B4" s="8">
        <v>0.03</v>
      </c>
      <c r="C4" s="9"/>
      <c r="D4" s="9"/>
      <c r="E4" s="9"/>
      <c r="F4" s="9"/>
      <c r="G4" s="9"/>
      <c r="J4">
        <f>MATCH(J3,B2:G2)+1</f>
        <v>2</v>
      </c>
      <c r="K4">
        <f>MATCH(K3,A4:A13,1)+1</f>
        <v>6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 x14ac:dyDescent="0.25">
      <c r="A5" s="18">
        <v>5</v>
      </c>
      <c r="B5" s="8">
        <v>0.05</v>
      </c>
      <c r="C5" s="9">
        <v>0.06</v>
      </c>
      <c r="D5" s="9"/>
      <c r="E5" s="9"/>
      <c r="F5" s="9"/>
      <c r="G5" s="9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 x14ac:dyDescent="0.25">
      <c r="A6" s="18">
        <v>10</v>
      </c>
      <c r="B6" s="8">
        <v>0.08</v>
      </c>
      <c r="C6" s="9">
        <v>0.15</v>
      </c>
      <c r="D6" s="9">
        <v>0.35</v>
      </c>
      <c r="E6" s="9"/>
      <c r="F6" s="9"/>
      <c r="G6" s="9"/>
      <c r="J6">
        <f>INDEX(B4:G13,K4,J4)</f>
        <v>0.75</v>
      </c>
      <c r="K6">
        <f>IF(ISNA(J6),0, ROUNDUP( J6/0.036,0))</f>
        <v>21</v>
      </c>
      <c r="L6" t="s">
        <v>130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 x14ac:dyDescent="0.25">
      <c r="A7" s="18">
        <v>15</v>
      </c>
      <c r="B7" s="8">
        <v>0.1</v>
      </c>
      <c r="C7" s="9">
        <v>0.35</v>
      </c>
      <c r="D7" s="9">
        <v>0.42</v>
      </c>
      <c r="E7" s="9">
        <v>0.5</v>
      </c>
      <c r="F7" s="9"/>
      <c r="G7" s="9"/>
      <c r="K7">
        <f>ROUNDUP((-0.0019*K2+1.0397*K2+2.2414)/1.4,0)</f>
        <v>17</v>
      </c>
      <c r="L7">
        <f>K7*0.036</f>
        <v>0.61199999999999999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 x14ac:dyDescent="0.25">
      <c r="A8" s="18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 x14ac:dyDescent="0.25">
      <c r="A9" s="18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</v>
      </c>
      <c r="G9" s="12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 x14ac:dyDescent="0.25">
      <c r="A10" s="18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 x14ac:dyDescent="0.25">
      <c r="A11" s="18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 x14ac:dyDescent="0.25">
      <c r="A12" s="18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 x14ac:dyDescent="0.3">
      <c r="A13" s="19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 x14ac:dyDescent="0.25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 x14ac:dyDescent="0.25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 x14ac:dyDescent="0.25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 x14ac:dyDescent="0.25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 x14ac:dyDescent="0.25">
      <c r="O18" s="65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 x14ac:dyDescent="0.25">
      <c r="T19">
        <v>19</v>
      </c>
      <c r="U19">
        <v>20</v>
      </c>
      <c r="V19">
        <f t="shared" si="0"/>
        <v>0.72</v>
      </c>
    </row>
    <row r="20" spans="12:22" x14ac:dyDescent="0.25">
      <c r="T20">
        <v>20</v>
      </c>
      <c r="U20">
        <v>21</v>
      </c>
      <c r="V20">
        <f t="shared" si="0"/>
        <v>0.75599999999999989</v>
      </c>
    </row>
    <row r="21" spans="12:22" x14ac:dyDescent="0.25">
      <c r="T21">
        <v>21</v>
      </c>
      <c r="U21">
        <v>22</v>
      </c>
      <c r="V21">
        <f t="shared" si="0"/>
        <v>0.79199999999999993</v>
      </c>
    </row>
    <row r="22" spans="12:22" x14ac:dyDescent="0.25">
      <c r="O22">
        <f>L2</f>
        <v>12800</v>
      </c>
      <c r="P22">
        <f>FORECAST(O22,P2:P11,O2:O11)</f>
        <v>0.2393904727775979</v>
      </c>
      <c r="Q22">
        <f t="shared" ref="Q22" si="3">P22*60</f>
        <v>14.363428366655874</v>
      </c>
      <c r="R22">
        <f t="shared" ref="R22" si="4">ROUNDUP(Q22/0.036,0)</f>
        <v>399</v>
      </c>
      <c r="T22">
        <v>22</v>
      </c>
      <c r="U22">
        <v>23</v>
      </c>
      <c r="V22">
        <f t="shared" si="0"/>
        <v>0.82799999999999996</v>
      </c>
    </row>
    <row r="23" spans="12:22" x14ac:dyDescent="0.25">
      <c r="T23">
        <v>23</v>
      </c>
      <c r="U23">
        <v>24</v>
      </c>
      <c r="V23">
        <f t="shared" si="0"/>
        <v>0.86399999999999988</v>
      </c>
    </row>
    <row r="24" spans="12:22" x14ac:dyDescent="0.25">
      <c r="T24">
        <v>24</v>
      </c>
      <c r="U24">
        <v>25</v>
      </c>
      <c r="V24">
        <f t="shared" si="0"/>
        <v>0.89999999999999991</v>
      </c>
    </row>
    <row r="25" spans="12:22" x14ac:dyDescent="0.25">
      <c r="T25">
        <v>25</v>
      </c>
      <c r="U25">
        <v>26</v>
      </c>
      <c r="V25">
        <f t="shared" si="0"/>
        <v>0.93599999999999994</v>
      </c>
    </row>
    <row r="26" spans="12:22" x14ac:dyDescent="0.25">
      <c r="O26">
        <f>0.026*POWER(O22,2)-0.1726*O22+0.2775</f>
        <v>4257630.9974999996</v>
      </c>
      <c r="T26">
        <v>26</v>
      </c>
      <c r="U26">
        <v>27</v>
      </c>
      <c r="V26">
        <f t="shared" si="0"/>
        <v>0.97199999999999998</v>
      </c>
    </row>
    <row r="27" spans="12:22" x14ac:dyDescent="0.25">
      <c r="T27">
        <v>27</v>
      </c>
      <c r="U27">
        <v>28</v>
      </c>
      <c r="V27">
        <f t="shared" si="0"/>
        <v>1.008</v>
      </c>
    </row>
    <row r="28" spans="12:22" x14ac:dyDescent="0.25">
      <c r="T28">
        <v>28</v>
      </c>
      <c r="U28">
        <v>29</v>
      </c>
      <c r="V28">
        <f t="shared" si="0"/>
        <v>1.0439999999999998</v>
      </c>
    </row>
    <row r="29" spans="12:22" x14ac:dyDescent="0.25">
      <c r="T29">
        <v>29</v>
      </c>
      <c r="U29">
        <v>30</v>
      </c>
      <c r="V29">
        <f t="shared" si="0"/>
        <v>1.0799999999999998</v>
      </c>
    </row>
    <row r="30" spans="12:22" x14ac:dyDescent="0.25">
      <c r="L30" s="60"/>
      <c r="T30">
        <v>30</v>
      </c>
      <c r="U30">
        <v>31</v>
      </c>
      <c r="V30">
        <f t="shared" si="0"/>
        <v>1.1159999999999999</v>
      </c>
    </row>
    <row r="31" spans="12:22" x14ac:dyDescent="0.25">
      <c r="T31">
        <v>31</v>
      </c>
      <c r="U31">
        <v>32</v>
      </c>
      <c r="V31">
        <f t="shared" si="0"/>
        <v>1.1519999999999999</v>
      </c>
    </row>
    <row r="32" spans="12:22" x14ac:dyDescent="0.25">
      <c r="T32">
        <v>32</v>
      </c>
      <c r="U32">
        <v>33</v>
      </c>
      <c r="V32">
        <f t="shared" si="0"/>
        <v>1.1879999999999999</v>
      </c>
    </row>
    <row r="33" spans="2:22" x14ac:dyDescent="0.25">
      <c r="T33">
        <v>33</v>
      </c>
      <c r="U33">
        <v>34</v>
      </c>
      <c r="V33">
        <f t="shared" si="0"/>
        <v>1.224</v>
      </c>
    </row>
    <row r="34" spans="2:22" x14ac:dyDescent="0.25">
      <c r="T34">
        <v>34</v>
      </c>
      <c r="U34">
        <v>35</v>
      </c>
      <c r="V34">
        <f t="shared" si="0"/>
        <v>1.26</v>
      </c>
    </row>
    <row r="35" spans="2:22" x14ac:dyDescent="0.25">
      <c r="T35">
        <v>35</v>
      </c>
      <c r="U35">
        <v>36</v>
      </c>
      <c r="V35">
        <f t="shared" si="0"/>
        <v>1.2959999999999998</v>
      </c>
    </row>
    <row r="36" spans="2:22" x14ac:dyDescent="0.25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 x14ac:dyDescent="0.25">
      <c r="T37">
        <v>37</v>
      </c>
      <c r="U37">
        <v>38</v>
      </c>
      <c r="V37">
        <f t="shared" si="0"/>
        <v>1.3679999999999999</v>
      </c>
    </row>
    <row r="38" spans="2:22" x14ac:dyDescent="0.25">
      <c r="T38">
        <v>38</v>
      </c>
      <c r="U38">
        <v>39</v>
      </c>
      <c r="V38">
        <f t="shared" si="0"/>
        <v>1.4039999999999999</v>
      </c>
    </row>
    <row r="39" spans="2:22" x14ac:dyDescent="0.25">
      <c r="T39">
        <v>39</v>
      </c>
      <c r="U39">
        <v>40</v>
      </c>
      <c r="V39">
        <f t="shared" si="0"/>
        <v>1.44</v>
      </c>
    </row>
    <row r="40" spans="2:22" x14ac:dyDescent="0.25">
      <c r="T40">
        <v>40</v>
      </c>
      <c r="U40">
        <v>41</v>
      </c>
      <c r="V40">
        <f t="shared" si="0"/>
        <v>1.476</v>
      </c>
    </row>
    <row r="41" spans="2:22" x14ac:dyDescent="0.25">
      <c r="T41">
        <v>41</v>
      </c>
      <c r="U41">
        <v>42</v>
      </c>
      <c r="V41">
        <f t="shared" si="0"/>
        <v>1.5119999999999998</v>
      </c>
    </row>
    <row r="42" spans="2:22" x14ac:dyDescent="0.25">
      <c r="T42">
        <v>42</v>
      </c>
      <c r="U42">
        <v>43</v>
      </c>
      <c r="V42">
        <f t="shared" si="0"/>
        <v>1.5479999999999998</v>
      </c>
    </row>
    <row r="43" spans="2:22" x14ac:dyDescent="0.25">
      <c r="T43">
        <v>43</v>
      </c>
      <c r="U43">
        <v>44</v>
      </c>
      <c r="V43">
        <f t="shared" si="0"/>
        <v>1.5839999999999999</v>
      </c>
    </row>
    <row r="44" spans="2:22" x14ac:dyDescent="0.25">
      <c r="T44">
        <v>44</v>
      </c>
      <c r="U44">
        <v>45</v>
      </c>
      <c r="V44">
        <f t="shared" si="0"/>
        <v>1.6199999999999999</v>
      </c>
    </row>
    <row r="45" spans="2:22" x14ac:dyDescent="0.25">
      <c r="T45">
        <v>45</v>
      </c>
      <c r="U45">
        <v>46</v>
      </c>
      <c r="V45">
        <f t="shared" si="0"/>
        <v>1.6559999999999999</v>
      </c>
    </row>
    <row r="46" spans="2:22" x14ac:dyDescent="0.25">
      <c r="T46">
        <v>46</v>
      </c>
      <c r="U46">
        <v>47</v>
      </c>
      <c r="V46">
        <f t="shared" si="0"/>
        <v>1.6919999999999999</v>
      </c>
    </row>
    <row r="47" spans="2:22" x14ac:dyDescent="0.25">
      <c r="T47">
        <v>47</v>
      </c>
      <c r="U47">
        <v>48</v>
      </c>
      <c r="V47">
        <f t="shared" si="0"/>
        <v>1.7279999999999998</v>
      </c>
    </row>
    <row r="48" spans="2:22" x14ac:dyDescent="0.25">
      <c r="T48">
        <v>48</v>
      </c>
      <c r="U48">
        <v>49</v>
      </c>
      <c r="V48">
        <f t="shared" si="0"/>
        <v>1.7639999999999998</v>
      </c>
    </row>
    <row r="49" spans="20:22" x14ac:dyDescent="0.25">
      <c r="T49">
        <v>49</v>
      </c>
      <c r="U49">
        <v>50</v>
      </c>
      <c r="V49">
        <f t="shared" si="0"/>
        <v>1.7999999999999998</v>
      </c>
    </row>
    <row r="50" spans="20:22" x14ac:dyDescent="0.25">
      <c r="T50">
        <v>50</v>
      </c>
      <c r="U50">
        <v>51</v>
      </c>
      <c r="V50">
        <f t="shared" si="0"/>
        <v>1.8359999999999999</v>
      </c>
    </row>
    <row r="51" spans="20:22" x14ac:dyDescent="0.25">
      <c r="T51">
        <v>51</v>
      </c>
      <c r="U51">
        <v>52</v>
      </c>
      <c r="V51">
        <f t="shared" si="0"/>
        <v>1.8719999999999999</v>
      </c>
    </row>
    <row r="52" spans="20:22" x14ac:dyDescent="0.25">
      <c r="T52">
        <v>52</v>
      </c>
      <c r="U52">
        <v>53</v>
      </c>
      <c r="V52">
        <f t="shared" si="0"/>
        <v>1.9079999999999999</v>
      </c>
    </row>
    <row r="53" spans="20:22" x14ac:dyDescent="0.25">
      <c r="T53">
        <v>53</v>
      </c>
      <c r="U53">
        <v>54</v>
      </c>
      <c r="V53">
        <f t="shared" si="0"/>
        <v>1.944</v>
      </c>
    </row>
    <row r="54" spans="20:22" x14ac:dyDescent="0.25">
      <c r="T54">
        <v>54</v>
      </c>
      <c r="U54">
        <v>54</v>
      </c>
      <c r="V54">
        <f t="shared" si="0"/>
        <v>1.944</v>
      </c>
    </row>
    <row r="55" spans="20:22" x14ac:dyDescent="0.25">
      <c r="T55">
        <v>55</v>
      </c>
      <c r="U55">
        <v>55</v>
      </c>
      <c r="V55">
        <f t="shared" si="0"/>
        <v>1.9799999999999998</v>
      </c>
    </row>
    <row r="56" spans="20:22" x14ac:dyDescent="0.25">
      <c r="T56">
        <v>56</v>
      </c>
      <c r="U56">
        <v>55</v>
      </c>
      <c r="V56">
        <f t="shared" si="0"/>
        <v>1.9799999999999998</v>
      </c>
    </row>
    <row r="57" spans="20:22" x14ac:dyDescent="0.25">
      <c r="T57">
        <v>57</v>
      </c>
      <c r="U57">
        <v>56</v>
      </c>
      <c r="V57">
        <f t="shared" si="0"/>
        <v>2.016</v>
      </c>
    </row>
    <row r="58" spans="20:22" x14ac:dyDescent="0.25">
      <c r="T58">
        <v>58</v>
      </c>
      <c r="U58">
        <v>56</v>
      </c>
      <c r="V58">
        <f>U63*0.036</f>
        <v>2.1239999999999997</v>
      </c>
    </row>
    <row r="59" spans="20:22" x14ac:dyDescent="0.25">
      <c r="T59">
        <v>59</v>
      </c>
      <c r="U59">
        <v>57</v>
      </c>
      <c r="V59">
        <f t="shared" si="0"/>
        <v>2.052</v>
      </c>
    </row>
    <row r="60" spans="20:22" x14ac:dyDescent="0.25">
      <c r="T60">
        <v>60</v>
      </c>
      <c r="U60">
        <v>57</v>
      </c>
      <c r="V60">
        <f t="shared" si="0"/>
        <v>2.052</v>
      </c>
    </row>
    <row r="61" spans="20:22" x14ac:dyDescent="0.25">
      <c r="T61">
        <v>61</v>
      </c>
      <c r="U61">
        <v>58</v>
      </c>
      <c r="V61">
        <f t="shared" si="0"/>
        <v>2.0879999999999996</v>
      </c>
    </row>
    <row r="62" spans="20:22" x14ac:dyDescent="0.25">
      <c r="T62">
        <v>62</v>
      </c>
      <c r="U62">
        <v>58</v>
      </c>
      <c r="V62">
        <f t="shared" si="0"/>
        <v>2.0879999999999996</v>
      </c>
    </row>
    <row r="63" spans="20:22" x14ac:dyDescent="0.25">
      <c r="T63">
        <v>63</v>
      </c>
      <c r="U63">
        <v>59</v>
      </c>
      <c r="V63">
        <f t="shared" si="0"/>
        <v>2.1239999999999997</v>
      </c>
    </row>
    <row r="64" spans="20:22" x14ac:dyDescent="0.25">
      <c r="T64">
        <v>64</v>
      </c>
      <c r="U64">
        <v>59</v>
      </c>
      <c r="V64">
        <f t="shared" si="0"/>
        <v>2.1239999999999997</v>
      </c>
    </row>
    <row r="65" spans="20:22" x14ac:dyDescent="0.25">
      <c r="T65">
        <v>65</v>
      </c>
      <c r="U65">
        <v>60</v>
      </c>
      <c r="V65">
        <f t="shared" si="0"/>
        <v>2.1599999999999997</v>
      </c>
    </row>
    <row r="66" spans="20:22" x14ac:dyDescent="0.25">
      <c r="T66">
        <v>66</v>
      </c>
      <c r="V66">
        <f t="shared" ref="V66:V129" si="5">U66*0.036</f>
        <v>0</v>
      </c>
    </row>
    <row r="67" spans="20:22" x14ac:dyDescent="0.25">
      <c r="T67">
        <v>67</v>
      </c>
      <c r="V67">
        <f t="shared" si="5"/>
        <v>0</v>
      </c>
    </row>
    <row r="68" spans="20:22" x14ac:dyDescent="0.25">
      <c r="T68">
        <v>68</v>
      </c>
      <c r="V68">
        <f t="shared" si="5"/>
        <v>0</v>
      </c>
    </row>
    <row r="69" spans="20:22" x14ac:dyDescent="0.25">
      <c r="T69">
        <v>69</v>
      </c>
      <c r="V69">
        <f t="shared" si="5"/>
        <v>0</v>
      </c>
    </row>
    <row r="70" spans="20:22" x14ac:dyDescent="0.25">
      <c r="T70">
        <v>70</v>
      </c>
      <c r="V70">
        <f t="shared" si="5"/>
        <v>0</v>
      </c>
    </row>
    <row r="71" spans="20:22" x14ac:dyDescent="0.25">
      <c r="T71">
        <v>71</v>
      </c>
      <c r="V71">
        <f t="shared" si="5"/>
        <v>0</v>
      </c>
    </row>
    <row r="72" spans="20:22" x14ac:dyDescent="0.25">
      <c r="T72">
        <v>72</v>
      </c>
      <c r="V72">
        <f t="shared" si="5"/>
        <v>0</v>
      </c>
    </row>
    <row r="73" spans="20:22" x14ac:dyDescent="0.25">
      <c r="T73">
        <v>73</v>
      </c>
      <c r="V73">
        <f t="shared" si="5"/>
        <v>0</v>
      </c>
    </row>
    <row r="74" spans="20:22" x14ac:dyDescent="0.25">
      <c r="T74">
        <v>74</v>
      </c>
      <c r="V74">
        <f t="shared" si="5"/>
        <v>0</v>
      </c>
    </row>
    <row r="75" spans="20:22" x14ac:dyDescent="0.25">
      <c r="T75">
        <v>75</v>
      </c>
      <c r="V75">
        <f t="shared" si="5"/>
        <v>0</v>
      </c>
    </row>
    <row r="76" spans="20:22" x14ac:dyDescent="0.25">
      <c r="T76">
        <v>76</v>
      </c>
      <c r="V76">
        <f t="shared" si="5"/>
        <v>0</v>
      </c>
    </row>
    <row r="77" spans="20:22" x14ac:dyDescent="0.25">
      <c r="T77">
        <v>77</v>
      </c>
      <c r="V77">
        <f t="shared" si="5"/>
        <v>0</v>
      </c>
    </row>
    <row r="78" spans="20:22" x14ac:dyDescent="0.25">
      <c r="T78">
        <v>78</v>
      </c>
      <c r="V78">
        <f t="shared" si="5"/>
        <v>0</v>
      </c>
    </row>
    <row r="79" spans="20:22" x14ac:dyDescent="0.25">
      <c r="T79">
        <v>79</v>
      </c>
      <c r="V79">
        <f t="shared" si="5"/>
        <v>0</v>
      </c>
    </row>
    <row r="80" spans="20:22" x14ac:dyDescent="0.25">
      <c r="T80">
        <v>80</v>
      </c>
      <c r="V80">
        <f t="shared" si="5"/>
        <v>0</v>
      </c>
    </row>
    <row r="81" spans="20:22" x14ac:dyDescent="0.25">
      <c r="T81">
        <v>81</v>
      </c>
      <c r="V81">
        <f t="shared" si="5"/>
        <v>0</v>
      </c>
    </row>
    <row r="82" spans="20:22" x14ac:dyDescent="0.25">
      <c r="T82">
        <v>82</v>
      </c>
      <c r="V82">
        <f t="shared" si="5"/>
        <v>0</v>
      </c>
    </row>
    <row r="83" spans="20:22" x14ac:dyDescent="0.25">
      <c r="T83">
        <v>83</v>
      </c>
      <c r="V83">
        <f t="shared" si="5"/>
        <v>0</v>
      </c>
    </row>
    <row r="84" spans="20:22" x14ac:dyDescent="0.25">
      <c r="T84">
        <v>84</v>
      </c>
      <c r="V84">
        <f t="shared" si="5"/>
        <v>0</v>
      </c>
    </row>
    <row r="85" spans="20:22" x14ac:dyDescent="0.25">
      <c r="T85">
        <v>85</v>
      </c>
      <c r="V85">
        <f t="shared" si="5"/>
        <v>0</v>
      </c>
    </row>
    <row r="86" spans="20:22" x14ac:dyDescent="0.25">
      <c r="T86">
        <v>86</v>
      </c>
      <c r="V86">
        <f t="shared" si="5"/>
        <v>0</v>
      </c>
    </row>
    <row r="87" spans="20:22" x14ac:dyDescent="0.25">
      <c r="T87">
        <v>87</v>
      </c>
      <c r="V87">
        <f t="shared" si="5"/>
        <v>0</v>
      </c>
    </row>
    <row r="88" spans="20:22" x14ac:dyDescent="0.25">
      <c r="T88">
        <v>88</v>
      </c>
      <c r="V88">
        <f t="shared" si="5"/>
        <v>0</v>
      </c>
    </row>
    <row r="89" spans="20:22" x14ac:dyDescent="0.25">
      <c r="T89">
        <v>89</v>
      </c>
      <c r="V89">
        <f t="shared" si="5"/>
        <v>0</v>
      </c>
    </row>
    <row r="90" spans="20:22" x14ac:dyDescent="0.25">
      <c r="T90">
        <v>90</v>
      </c>
      <c r="V90">
        <f t="shared" si="5"/>
        <v>0</v>
      </c>
    </row>
    <row r="91" spans="20:22" x14ac:dyDescent="0.25">
      <c r="T91">
        <v>91</v>
      </c>
      <c r="V91">
        <f t="shared" si="5"/>
        <v>0</v>
      </c>
    </row>
    <row r="92" spans="20:22" x14ac:dyDescent="0.25">
      <c r="T92">
        <v>92</v>
      </c>
      <c r="V92">
        <f t="shared" si="5"/>
        <v>0</v>
      </c>
    </row>
    <row r="93" spans="20:22" x14ac:dyDescent="0.25">
      <c r="T93">
        <v>93</v>
      </c>
      <c r="V93">
        <f t="shared" si="5"/>
        <v>0</v>
      </c>
    </row>
    <row r="94" spans="20:22" x14ac:dyDescent="0.25">
      <c r="T94">
        <v>94</v>
      </c>
      <c r="V94">
        <f t="shared" si="5"/>
        <v>0</v>
      </c>
    </row>
    <row r="95" spans="20:22" x14ac:dyDescent="0.25">
      <c r="T95">
        <v>95</v>
      </c>
      <c r="V95">
        <f t="shared" si="5"/>
        <v>0</v>
      </c>
    </row>
    <row r="96" spans="20:22" x14ac:dyDescent="0.25">
      <c r="T96">
        <v>96</v>
      </c>
      <c r="V96">
        <f t="shared" si="5"/>
        <v>0</v>
      </c>
    </row>
    <row r="97" spans="20:22" x14ac:dyDescent="0.25">
      <c r="T97">
        <v>97</v>
      </c>
      <c r="V97">
        <f t="shared" si="5"/>
        <v>0</v>
      </c>
    </row>
    <row r="98" spans="20:22" x14ac:dyDescent="0.25">
      <c r="T98">
        <v>98</v>
      </c>
      <c r="V98">
        <f t="shared" si="5"/>
        <v>0</v>
      </c>
    </row>
    <row r="99" spans="20:22" x14ac:dyDescent="0.25">
      <c r="T99">
        <v>99</v>
      </c>
      <c r="V99">
        <f t="shared" si="5"/>
        <v>0</v>
      </c>
    </row>
    <row r="100" spans="20:22" x14ac:dyDescent="0.25">
      <c r="T100">
        <v>100</v>
      </c>
      <c r="V100">
        <f t="shared" si="5"/>
        <v>0</v>
      </c>
    </row>
    <row r="101" spans="20:22" x14ac:dyDescent="0.25">
      <c r="T101">
        <v>101</v>
      </c>
      <c r="V101">
        <f t="shared" si="5"/>
        <v>0</v>
      </c>
    </row>
    <row r="102" spans="20:22" x14ac:dyDescent="0.25">
      <c r="T102">
        <v>102</v>
      </c>
      <c r="V102">
        <f t="shared" si="5"/>
        <v>0</v>
      </c>
    </row>
    <row r="103" spans="20:22" x14ac:dyDescent="0.25">
      <c r="T103">
        <v>103</v>
      </c>
      <c r="V103">
        <f t="shared" si="5"/>
        <v>0</v>
      </c>
    </row>
    <row r="104" spans="20:22" x14ac:dyDescent="0.25">
      <c r="T104">
        <v>104</v>
      </c>
      <c r="V104">
        <f t="shared" si="5"/>
        <v>0</v>
      </c>
    </row>
    <row r="105" spans="20:22" x14ac:dyDescent="0.25">
      <c r="T105">
        <v>105</v>
      </c>
      <c r="V105">
        <f t="shared" si="5"/>
        <v>0</v>
      </c>
    </row>
    <row r="106" spans="20:22" x14ac:dyDescent="0.25">
      <c r="T106">
        <v>106</v>
      </c>
      <c r="V106">
        <f t="shared" si="5"/>
        <v>0</v>
      </c>
    </row>
    <row r="107" spans="20:22" x14ac:dyDescent="0.25">
      <c r="T107">
        <v>107</v>
      </c>
      <c r="V107">
        <f t="shared" si="5"/>
        <v>0</v>
      </c>
    </row>
    <row r="108" spans="20:22" x14ac:dyDescent="0.25">
      <c r="T108">
        <v>108</v>
      </c>
      <c r="V108">
        <f t="shared" si="5"/>
        <v>0</v>
      </c>
    </row>
    <row r="109" spans="20:22" x14ac:dyDescent="0.25">
      <c r="T109">
        <v>109</v>
      </c>
      <c r="V109">
        <f t="shared" si="5"/>
        <v>0</v>
      </c>
    </row>
    <row r="110" spans="20:22" x14ac:dyDescent="0.25">
      <c r="T110">
        <v>110</v>
      </c>
      <c r="V110">
        <f t="shared" si="5"/>
        <v>0</v>
      </c>
    </row>
    <row r="111" spans="20:22" x14ac:dyDescent="0.25">
      <c r="T111">
        <v>111</v>
      </c>
      <c r="V111">
        <f t="shared" si="5"/>
        <v>0</v>
      </c>
    </row>
    <row r="112" spans="20:22" x14ac:dyDescent="0.25">
      <c r="T112">
        <v>112</v>
      </c>
      <c r="V112">
        <f t="shared" si="5"/>
        <v>0</v>
      </c>
    </row>
    <row r="113" spans="20:22" x14ac:dyDescent="0.25">
      <c r="T113">
        <v>113</v>
      </c>
      <c r="V113">
        <f t="shared" si="5"/>
        <v>0</v>
      </c>
    </row>
    <row r="114" spans="20:22" x14ac:dyDescent="0.25">
      <c r="T114">
        <v>114</v>
      </c>
      <c r="V114">
        <f t="shared" si="5"/>
        <v>0</v>
      </c>
    </row>
    <row r="115" spans="20:22" x14ac:dyDescent="0.25">
      <c r="T115">
        <v>115</v>
      </c>
      <c r="V115">
        <f t="shared" si="5"/>
        <v>0</v>
      </c>
    </row>
    <row r="116" spans="20:22" x14ac:dyDescent="0.25">
      <c r="T116">
        <v>116</v>
      </c>
      <c r="V116">
        <f t="shared" si="5"/>
        <v>0</v>
      </c>
    </row>
    <row r="117" spans="20:22" x14ac:dyDescent="0.25">
      <c r="T117">
        <v>117</v>
      </c>
      <c r="V117">
        <f t="shared" si="5"/>
        <v>0</v>
      </c>
    </row>
    <row r="118" spans="20:22" x14ac:dyDescent="0.25">
      <c r="T118">
        <v>118</v>
      </c>
      <c r="V118">
        <f t="shared" si="5"/>
        <v>0</v>
      </c>
    </row>
    <row r="119" spans="20:22" x14ac:dyDescent="0.25">
      <c r="T119">
        <v>119</v>
      </c>
      <c r="V119">
        <f t="shared" si="5"/>
        <v>0</v>
      </c>
    </row>
    <row r="120" spans="20:22" x14ac:dyDescent="0.25">
      <c r="T120">
        <v>120</v>
      </c>
      <c r="V120">
        <f t="shared" si="5"/>
        <v>0</v>
      </c>
    </row>
    <row r="121" spans="20:22" x14ac:dyDescent="0.25">
      <c r="T121">
        <v>121</v>
      </c>
      <c r="V121">
        <f t="shared" si="5"/>
        <v>0</v>
      </c>
    </row>
    <row r="122" spans="20:22" x14ac:dyDescent="0.25">
      <c r="T122">
        <v>122</v>
      </c>
      <c r="V122">
        <f t="shared" si="5"/>
        <v>0</v>
      </c>
    </row>
    <row r="123" spans="20:22" x14ac:dyDescent="0.25">
      <c r="T123">
        <v>123</v>
      </c>
      <c r="V123">
        <f t="shared" si="5"/>
        <v>0</v>
      </c>
    </row>
    <row r="124" spans="20:22" x14ac:dyDescent="0.25">
      <c r="T124">
        <v>124</v>
      </c>
      <c r="V124">
        <f t="shared" si="5"/>
        <v>0</v>
      </c>
    </row>
    <row r="125" spans="20:22" x14ac:dyDescent="0.25">
      <c r="T125">
        <v>125</v>
      </c>
      <c r="V125">
        <f t="shared" si="5"/>
        <v>0</v>
      </c>
    </row>
    <row r="126" spans="20:22" x14ac:dyDescent="0.25">
      <c r="T126">
        <v>126</v>
      </c>
      <c r="V126">
        <f t="shared" si="5"/>
        <v>0</v>
      </c>
    </row>
    <row r="127" spans="20:22" x14ac:dyDescent="0.25">
      <c r="T127">
        <v>127</v>
      </c>
      <c r="V127">
        <f t="shared" si="5"/>
        <v>0</v>
      </c>
    </row>
    <row r="128" spans="20:22" x14ac:dyDescent="0.25">
      <c r="T128">
        <v>128</v>
      </c>
      <c r="V128">
        <f t="shared" si="5"/>
        <v>0</v>
      </c>
    </row>
    <row r="129" spans="20:22" x14ac:dyDescent="0.25">
      <c r="T129">
        <v>129</v>
      </c>
      <c r="V129">
        <f t="shared" si="5"/>
        <v>0</v>
      </c>
    </row>
    <row r="130" spans="20:22" x14ac:dyDescent="0.25">
      <c r="T130">
        <v>130</v>
      </c>
      <c r="V130">
        <f t="shared" ref="V130:V193" si="6">U130*0.036</f>
        <v>0</v>
      </c>
    </row>
    <row r="131" spans="20:22" x14ac:dyDescent="0.25">
      <c r="T131">
        <v>131</v>
      </c>
      <c r="V131">
        <f t="shared" si="6"/>
        <v>0</v>
      </c>
    </row>
    <row r="132" spans="20:22" x14ac:dyDescent="0.25">
      <c r="T132">
        <v>132</v>
      </c>
      <c r="V132">
        <f t="shared" si="6"/>
        <v>0</v>
      </c>
    </row>
    <row r="133" spans="20:22" x14ac:dyDescent="0.25">
      <c r="T133">
        <v>133</v>
      </c>
      <c r="V133">
        <f t="shared" si="6"/>
        <v>0</v>
      </c>
    </row>
    <row r="134" spans="20:22" x14ac:dyDescent="0.25">
      <c r="T134">
        <v>134</v>
      </c>
      <c r="V134">
        <f t="shared" si="6"/>
        <v>0</v>
      </c>
    </row>
    <row r="135" spans="20:22" x14ac:dyDescent="0.25">
      <c r="T135">
        <v>135</v>
      </c>
      <c r="V135">
        <f t="shared" si="6"/>
        <v>0</v>
      </c>
    </row>
    <row r="136" spans="20:22" x14ac:dyDescent="0.25">
      <c r="T136">
        <v>136</v>
      </c>
      <c r="V136">
        <f t="shared" si="6"/>
        <v>0</v>
      </c>
    </row>
    <row r="137" spans="20:22" x14ac:dyDescent="0.25">
      <c r="T137">
        <v>137</v>
      </c>
      <c r="V137">
        <f t="shared" si="6"/>
        <v>0</v>
      </c>
    </row>
    <row r="138" spans="20:22" x14ac:dyDescent="0.25">
      <c r="T138">
        <v>138</v>
      </c>
      <c r="V138">
        <f t="shared" si="6"/>
        <v>0</v>
      </c>
    </row>
    <row r="139" spans="20:22" x14ac:dyDescent="0.25">
      <c r="T139">
        <v>139</v>
      </c>
      <c r="V139">
        <f t="shared" si="6"/>
        <v>0</v>
      </c>
    </row>
    <row r="140" spans="20:22" x14ac:dyDescent="0.25">
      <c r="T140">
        <v>140</v>
      </c>
      <c r="V140">
        <f t="shared" si="6"/>
        <v>0</v>
      </c>
    </row>
    <row r="141" spans="20:22" x14ac:dyDescent="0.25">
      <c r="T141">
        <v>141</v>
      </c>
      <c r="V141">
        <f t="shared" si="6"/>
        <v>0</v>
      </c>
    </row>
    <row r="142" spans="20:22" x14ac:dyDescent="0.25">
      <c r="T142">
        <v>142</v>
      </c>
      <c r="V142">
        <f t="shared" si="6"/>
        <v>0</v>
      </c>
    </row>
    <row r="143" spans="20:22" x14ac:dyDescent="0.25">
      <c r="T143">
        <v>143</v>
      </c>
      <c r="V143">
        <f t="shared" si="6"/>
        <v>0</v>
      </c>
    </row>
    <row r="144" spans="20:22" x14ac:dyDescent="0.25">
      <c r="T144">
        <v>144</v>
      </c>
      <c r="V144">
        <f t="shared" si="6"/>
        <v>0</v>
      </c>
    </row>
    <row r="145" spans="20:22" x14ac:dyDescent="0.25">
      <c r="T145">
        <v>145</v>
      </c>
      <c r="V145">
        <f t="shared" si="6"/>
        <v>0</v>
      </c>
    </row>
    <row r="146" spans="20:22" x14ac:dyDescent="0.25">
      <c r="T146">
        <v>146</v>
      </c>
      <c r="V146">
        <f t="shared" si="6"/>
        <v>0</v>
      </c>
    </row>
    <row r="147" spans="20:22" x14ac:dyDescent="0.25">
      <c r="T147">
        <v>147</v>
      </c>
      <c r="V147">
        <f t="shared" si="6"/>
        <v>0</v>
      </c>
    </row>
    <row r="148" spans="20:22" x14ac:dyDescent="0.25">
      <c r="T148">
        <v>148</v>
      </c>
      <c r="V148">
        <f t="shared" si="6"/>
        <v>0</v>
      </c>
    </row>
    <row r="149" spans="20:22" x14ac:dyDescent="0.25">
      <c r="T149">
        <v>149</v>
      </c>
      <c r="V149">
        <f t="shared" si="6"/>
        <v>0</v>
      </c>
    </row>
    <row r="150" spans="20:22" x14ac:dyDescent="0.25">
      <c r="T150">
        <v>150</v>
      </c>
      <c r="V150">
        <f t="shared" si="6"/>
        <v>0</v>
      </c>
    </row>
    <row r="151" spans="20:22" x14ac:dyDescent="0.25">
      <c r="T151">
        <v>151</v>
      </c>
      <c r="V151">
        <f t="shared" si="6"/>
        <v>0</v>
      </c>
    </row>
    <row r="152" spans="20:22" x14ac:dyDescent="0.25">
      <c r="T152">
        <v>152</v>
      </c>
      <c r="V152">
        <f t="shared" si="6"/>
        <v>0</v>
      </c>
    </row>
    <row r="153" spans="20:22" x14ac:dyDescent="0.25">
      <c r="T153">
        <v>153</v>
      </c>
      <c r="V153">
        <f t="shared" si="6"/>
        <v>0</v>
      </c>
    </row>
    <row r="154" spans="20:22" x14ac:dyDescent="0.25">
      <c r="T154">
        <v>154</v>
      </c>
      <c r="V154">
        <f t="shared" si="6"/>
        <v>0</v>
      </c>
    </row>
    <row r="155" spans="20:22" x14ac:dyDescent="0.25">
      <c r="T155">
        <v>155</v>
      </c>
      <c r="V155">
        <f t="shared" si="6"/>
        <v>0</v>
      </c>
    </row>
    <row r="156" spans="20:22" x14ac:dyDescent="0.25">
      <c r="T156">
        <v>156</v>
      </c>
      <c r="V156">
        <f t="shared" si="6"/>
        <v>0</v>
      </c>
    </row>
    <row r="157" spans="20:22" x14ac:dyDescent="0.25">
      <c r="T157">
        <v>157</v>
      </c>
      <c r="V157">
        <f t="shared" si="6"/>
        <v>0</v>
      </c>
    </row>
    <row r="158" spans="20:22" x14ac:dyDescent="0.25">
      <c r="T158">
        <v>158</v>
      </c>
      <c r="V158">
        <f t="shared" si="6"/>
        <v>0</v>
      </c>
    </row>
    <row r="159" spans="20:22" x14ac:dyDescent="0.25">
      <c r="T159">
        <v>159</v>
      </c>
      <c r="V159">
        <f t="shared" si="6"/>
        <v>0</v>
      </c>
    </row>
    <row r="160" spans="20:22" x14ac:dyDescent="0.25">
      <c r="T160">
        <v>160</v>
      </c>
      <c r="V160">
        <f t="shared" si="6"/>
        <v>0</v>
      </c>
    </row>
    <row r="161" spans="20:22" x14ac:dyDescent="0.25">
      <c r="T161">
        <v>161</v>
      </c>
      <c r="V161">
        <f t="shared" si="6"/>
        <v>0</v>
      </c>
    </row>
    <row r="162" spans="20:22" x14ac:dyDescent="0.25">
      <c r="T162">
        <v>162</v>
      </c>
      <c r="V162">
        <f t="shared" si="6"/>
        <v>0</v>
      </c>
    </row>
    <row r="163" spans="20:22" x14ac:dyDescent="0.25">
      <c r="T163">
        <v>163</v>
      </c>
      <c r="V163">
        <f t="shared" si="6"/>
        <v>0</v>
      </c>
    </row>
    <row r="164" spans="20:22" x14ac:dyDescent="0.25">
      <c r="T164">
        <v>164</v>
      </c>
      <c r="V164">
        <f t="shared" si="6"/>
        <v>0</v>
      </c>
    </row>
    <row r="165" spans="20:22" x14ac:dyDescent="0.25">
      <c r="T165">
        <v>165</v>
      </c>
      <c r="V165">
        <f t="shared" si="6"/>
        <v>0</v>
      </c>
    </row>
    <row r="166" spans="20:22" x14ac:dyDescent="0.25">
      <c r="T166">
        <v>166</v>
      </c>
      <c r="V166">
        <f t="shared" si="6"/>
        <v>0</v>
      </c>
    </row>
    <row r="167" spans="20:22" x14ac:dyDescent="0.25">
      <c r="T167">
        <v>167</v>
      </c>
      <c r="V167">
        <f t="shared" si="6"/>
        <v>0</v>
      </c>
    </row>
    <row r="168" spans="20:22" x14ac:dyDescent="0.25">
      <c r="T168">
        <v>168</v>
      </c>
      <c r="V168">
        <f t="shared" si="6"/>
        <v>0</v>
      </c>
    </row>
    <row r="169" spans="20:22" x14ac:dyDescent="0.25">
      <c r="T169">
        <v>169</v>
      </c>
      <c r="V169">
        <f t="shared" si="6"/>
        <v>0</v>
      </c>
    </row>
    <row r="170" spans="20:22" x14ac:dyDescent="0.25">
      <c r="T170">
        <v>170</v>
      </c>
      <c r="V170">
        <f t="shared" si="6"/>
        <v>0</v>
      </c>
    </row>
    <row r="171" spans="20:22" x14ac:dyDescent="0.25">
      <c r="T171">
        <v>171</v>
      </c>
      <c r="V171">
        <f t="shared" si="6"/>
        <v>0</v>
      </c>
    </row>
    <row r="172" spans="20:22" x14ac:dyDescent="0.25">
      <c r="T172">
        <v>172</v>
      </c>
      <c r="V172">
        <f t="shared" si="6"/>
        <v>0</v>
      </c>
    </row>
    <row r="173" spans="20:22" x14ac:dyDescent="0.25">
      <c r="T173">
        <v>173</v>
      </c>
      <c r="V173">
        <f t="shared" si="6"/>
        <v>0</v>
      </c>
    </row>
    <row r="174" spans="20:22" x14ac:dyDescent="0.25">
      <c r="T174">
        <v>174</v>
      </c>
      <c r="V174">
        <f t="shared" si="6"/>
        <v>0</v>
      </c>
    </row>
    <row r="175" spans="20:22" x14ac:dyDescent="0.25">
      <c r="T175">
        <v>175</v>
      </c>
      <c r="V175">
        <f t="shared" si="6"/>
        <v>0</v>
      </c>
    </row>
    <row r="176" spans="20:22" x14ac:dyDescent="0.25">
      <c r="T176">
        <v>176</v>
      </c>
      <c r="V176">
        <f t="shared" si="6"/>
        <v>0</v>
      </c>
    </row>
    <row r="177" spans="20:22" x14ac:dyDescent="0.25">
      <c r="T177">
        <v>177</v>
      </c>
      <c r="V177">
        <f t="shared" si="6"/>
        <v>0</v>
      </c>
    </row>
    <row r="178" spans="20:22" x14ac:dyDescent="0.25">
      <c r="T178">
        <v>178</v>
      </c>
      <c r="V178">
        <f t="shared" si="6"/>
        <v>0</v>
      </c>
    </row>
    <row r="179" spans="20:22" x14ac:dyDescent="0.25">
      <c r="T179">
        <v>179</v>
      </c>
      <c r="V179">
        <f t="shared" si="6"/>
        <v>0</v>
      </c>
    </row>
    <row r="180" spans="20:22" x14ac:dyDescent="0.25">
      <c r="T180">
        <v>180</v>
      </c>
      <c r="V180">
        <f t="shared" si="6"/>
        <v>0</v>
      </c>
    </row>
    <row r="181" spans="20:22" x14ac:dyDescent="0.25">
      <c r="T181">
        <v>181</v>
      </c>
      <c r="V181">
        <f t="shared" si="6"/>
        <v>0</v>
      </c>
    </row>
    <row r="182" spans="20:22" x14ac:dyDescent="0.25">
      <c r="T182">
        <v>182</v>
      </c>
      <c r="V182">
        <f t="shared" si="6"/>
        <v>0</v>
      </c>
    </row>
    <row r="183" spans="20:22" x14ac:dyDescent="0.25">
      <c r="T183">
        <v>183</v>
      </c>
      <c r="V183">
        <f t="shared" si="6"/>
        <v>0</v>
      </c>
    </row>
    <row r="184" spans="20:22" x14ac:dyDescent="0.25">
      <c r="T184">
        <v>184</v>
      </c>
      <c r="V184">
        <f t="shared" si="6"/>
        <v>0</v>
      </c>
    </row>
    <row r="185" spans="20:22" x14ac:dyDescent="0.25">
      <c r="T185">
        <v>185</v>
      </c>
      <c r="V185">
        <f t="shared" si="6"/>
        <v>0</v>
      </c>
    </row>
    <row r="186" spans="20:22" x14ac:dyDescent="0.25">
      <c r="T186">
        <v>186</v>
      </c>
      <c r="V186">
        <f t="shared" si="6"/>
        <v>0</v>
      </c>
    </row>
    <row r="187" spans="20:22" x14ac:dyDescent="0.25">
      <c r="T187">
        <v>187</v>
      </c>
      <c r="V187">
        <f t="shared" si="6"/>
        <v>0</v>
      </c>
    </row>
    <row r="188" spans="20:22" x14ac:dyDescent="0.25">
      <c r="T188">
        <v>188</v>
      </c>
      <c r="V188">
        <f t="shared" si="6"/>
        <v>0</v>
      </c>
    </row>
    <row r="189" spans="20:22" x14ac:dyDescent="0.25">
      <c r="T189">
        <v>189</v>
      </c>
      <c r="V189">
        <f t="shared" si="6"/>
        <v>0</v>
      </c>
    </row>
    <row r="190" spans="20:22" x14ac:dyDescent="0.25">
      <c r="T190">
        <v>190</v>
      </c>
      <c r="V190">
        <f t="shared" si="6"/>
        <v>0</v>
      </c>
    </row>
    <row r="191" spans="20:22" x14ac:dyDescent="0.25">
      <c r="T191">
        <v>191</v>
      </c>
      <c r="V191">
        <f t="shared" si="6"/>
        <v>0</v>
      </c>
    </row>
    <row r="192" spans="20:22" x14ac:dyDescent="0.25">
      <c r="T192">
        <v>192</v>
      </c>
      <c r="V192">
        <f t="shared" si="6"/>
        <v>0</v>
      </c>
    </row>
    <row r="193" spans="20:22" x14ac:dyDescent="0.25">
      <c r="T193">
        <v>193</v>
      </c>
      <c r="V193">
        <f t="shared" si="6"/>
        <v>0</v>
      </c>
    </row>
    <row r="194" spans="20:22" x14ac:dyDescent="0.25">
      <c r="T194">
        <v>194</v>
      </c>
      <c r="V194">
        <f t="shared" ref="V194:V257" si="7">U194*0.036</f>
        <v>0</v>
      </c>
    </row>
    <row r="195" spans="20:22" x14ac:dyDescent="0.25">
      <c r="T195">
        <v>195</v>
      </c>
      <c r="V195">
        <f t="shared" si="7"/>
        <v>0</v>
      </c>
    </row>
    <row r="196" spans="20:22" x14ac:dyDescent="0.25">
      <c r="T196">
        <v>196</v>
      </c>
      <c r="V196">
        <f t="shared" si="7"/>
        <v>0</v>
      </c>
    </row>
    <row r="197" spans="20:22" x14ac:dyDescent="0.25">
      <c r="T197">
        <v>197</v>
      </c>
      <c r="V197">
        <f t="shared" si="7"/>
        <v>0</v>
      </c>
    </row>
    <row r="198" spans="20:22" x14ac:dyDescent="0.25">
      <c r="T198">
        <v>198</v>
      </c>
      <c r="V198">
        <f t="shared" si="7"/>
        <v>0</v>
      </c>
    </row>
    <row r="199" spans="20:22" x14ac:dyDescent="0.25">
      <c r="T199">
        <v>199</v>
      </c>
      <c r="V199">
        <f t="shared" si="7"/>
        <v>0</v>
      </c>
    </row>
    <row r="200" spans="20:22" x14ac:dyDescent="0.25">
      <c r="T200">
        <v>200</v>
      </c>
      <c r="V200">
        <f t="shared" si="7"/>
        <v>0</v>
      </c>
    </row>
    <row r="201" spans="20:22" x14ac:dyDescent="0.25">
      <c r="T201">
        <v>201</v>
      </c>
      <c r="V201">
        <f t="shared" si="7"/>
        <v>0</v>
      </c>
    </row>
    <row r="202" spans="20:22" x14ac:dyDescent="0.25">
      <c r="T202">
        <v>202</v>
      </c>
      <c r="V202">
        <f t="shared" si="7"/>
        <v>0</v>
      </c>
    </row>
    <row r="203" spans="20:22" x14ac:dyDescent="0.25">
      <c r="T203">
        <v>203</v>
      </c>
      <c r="V203">
        <f t="shared" si="7"/>
        <v>0</v>
      </c>
    </row>
    <row r="204" spans="20:22" x14ac:dyDescent="0.25">
      <c r="T204">
        <v>204</v>
      </c>
      <c r="V204">
        <f t="shared" si="7"/>
        <v>0</v>
      </c>
    </row>
    <row r="205" spans="20:22" x14ac:dyDescent="0.25">
      <c r="T205">
        <v>205</v>
      </c>
      <c r="V205">
        <f t="shared" si="7"/>
        <v>0</v>
      </c>
    </row>
    <row r="206" spans="20:22" x14ac:dyDescent="0.25">
      <c r="T206">
        <v>206</v>
      </c>
      <c r="V206">
        <f t="shared" si="7"/>
        <v>0</v>
      </c>
    </row>
    <row r="207" spans="20:22" x14ac:dyDescent="0.25">
      <c r="T207">
        <v>207</v>
      </c>
      <c r="V207">
        <f t="shared" si="7"/>
        <v>0</v>
      </c>
    </row>
    <row r="208" spans="20:22" x14ac:dyDescent="0.25">
      <c r="T208">
        <v>208</v>
      </c>
      <c r="V208">
        <f t="shared" si="7"/>
        <v>0</v>
      </c>
    </row>
    <row r="209" spans="20:22" x14ac:dyDescent="0.25">
      <c r="T209">
        <v>209</v>
      </c>
      <c r="V209">
        <f t="shared" si="7"/>
        <v>0</v>
      </c>
    </row>
    <row r="210" spans="20:22" x14ac:dyDescent="0.25">
      <c r="T210">
        <v>210</v>
      </c>
      <c r="V210">
        <f t="shared" si="7"/>
        <v>0</v>
      </c>
    </row>
    <row r="211" spans="20:22" x14ac:dyDescent="0.25">
      <c r="T211">
        <v>211</v>
      </c>
      <c r="V211">
        <f t="shared" si="7"/>
        <v>0</v>
      </c>
    </row>
    <row r="212" spans="20:22" x14ac:dyDescent="0.25">
      <c r="T212">
        <v>212</v>
      </c>
      <c r="V212">
        <f t="shared" si="7"/>
        <v>0</v>
      </c>
    </row>
    <row r="213" spans="20:22" x14ac:dyDescent="0.25">
      <c r="T213">
        <v>213</v>
      </c>
      <c r="V213">
        <f t="shared" si="7"/>
        <v>0</v>
      </c>
    </row>
    <row r="214" spans="20:22" x14ac:dyDescent="0.25">
      <c r="T214">
        <v>214</v>
      </c>
      <c r="V214">
        <f t="shared" si="7"/>
        <v>0</v>
      </c>
    </row>
    <row r="215" spans="20:22" x14ac:dyDescent="0.25">
      <c r="T215">
        <v>215</v>
      </c>
      <c r="V215">
        <f t="shared" si="7"/>
        <v>0</v>
      </c>
    </row>
    <row r="216" spans="20:22" x14ac:dyDescent="0.25">
      <c r="T216">
        <v>216</v>
      </c>
      <c r="V216">
        <f t="shared" si="7"/>
        <v>0</v>
      </c>
    </row>
    <row r="217" spans="20:22" x14ac:dyDescent="0.25">
      <c r="T217">
        <v>217</v>
      </c>
      <c r="V217">
        <f t="shared" si="7"/>
        <v>0</v>
      </c>
    </row>
    <row r="218" spans="20:22" x14ac:dyDescent="0.25">
      <c r="T218">
        <v>218</v>
      </c>
      <c r="V218">
        <f t="shared" si="7"/>
        <v>0</v>
      </c>
    </row>
    <row r="219" spans="20:22" x14ac:dyDescent="0.25">
      <c r="T219">
        <v>219</v>
      </c>
      <c r="V219">
        <f t="shared" si="7"/>
        <v>0</v>
      </c>
    </row>
    <row r="220" spans="20:22" x14ac:dyDescent="0.25">
      <c r="T220">
        <v>220</v>
      </c>
      <c r="V220">
        <f t="shared" si="7"/>
        <v>0</v>
      </c>
    </row>
    <row r="221" spans="20:22" x14ac:dyDescent="0.25">
      <c r="T221">
        <v>221</v>
      </c>
      <c r="V221">
        <f t="shared" si="7"/>
        <v>0</v>
      </c>
    </row>
    <row r="222" spans="20:22" x14ac:dyDescent="0.25">
      <c r="T222">
        <v>222</v>
      </c>
      <c r="V222">
        <f t="shared" si="7"/>
        <v>0</v>
      </c>
    </row>
    <row r="223" spans="20:22" x14ac:dyDescent="0.25">
      <c r="T223">
        <v>223</v>
      </c>
      <c r="V223">
        <f t="shared" si="7"/>
        <v>0</v>
      </c>
    </row>
    <row r="224" spans="20:22" x14ac:dyDescent="0.25">
      <c r="T224">
        <v>224</v>
      </c>
      <c r="V224">
        <f t="shared" si="7"/>
        <v>0</v>
      </c>
    </row>
    <row r="225" spans="20:22" x14ac:dyDescent="0.25">
      <c r="T225">
        <v>225</v>
      </c>
      <c r="V225">
        <f t="shared" si="7"/>
        <v>0</v>
      </c>
    </row>
    <row r="226" spans="20:22" x14ac:dyDescent="0.25">
      <c r="T226">
        <v>226</v>
      </c>
      <c r="V226">
        <f t="shared" si="7"/>
        <v>0</v>
      </c>
    </row>
    <row r="227" spans="20:22" x14ac:dyDescent="0.25">
      <c r="T227">
        <v>227</v>
      </c>
      <c r="V227">
        <f t="shared" si="7"/>
        <v>0</v>
      </c>
    </row>
    <row r="228" spans="20:22" x14ac:dyDescent="0.25">
      <c r="T228">
        <v>228</v>
      </c>
      <c r="V228">
        <f t="shared" si="7"/>
        <v>0</v>
      </c>
    </row>
    <row r="229" spans="20:22" x14ac:dyDescent="0.25">
      <c r="T229">
        <v>229</v>
      </c>
      <c r="V229">
        <f t="shared" si="7"/>
        <v>0</v>
      </c>
    </row>
    <row r="230" spans="20:22" x14ac:dyDescent="0.25">
      <c r="T230">
        <v>230</v>
      </c>
      <c r="V230">
        <f t="shared" si="7"/>
        <v>0</v>
      </c>
    </row>
    <row r="231" spans="20:22" x14ac:dyDescent="0.25">
      <c r="T231">
        <v>231</v>
      </c>
      <c r="V231">
        <f t="shared" si="7"/>
        <v>0</v>
      </c>
    </row>
    <row r="232" spans="20:22" x14ac:dyDescent="0.25">
      <c r="T232">
        <v>232</v>
      </c>
      <c r="V232">
        <f t="shared" si="7"/>
        <v>0</v>
      </c>
    </row>
    <row r="233" spans="20:22" x14ac:dyDescent="0.25">
      <c r="T233">
        <v>233</v>
      </c>
      <c r="V233">
        <f t="shared" si="7"/>
        <v>0</v>
      </c>
    </row>
    <row r="234" spans="20:22" x14ac:dyDescent="0.25">
      <c r="T234">
        <v>234</v>
      </c>
      <c r="V234">
        <f t="shared" si="7"/>
        <v>0</v>
      </c>
    </row>
    <row r="235" spans="20:22" x14ac:dyDescent="0.25">
      <c r="T235">
        <v>235</v>
      </c>
      <c r="V235">
        <f t="shared" si="7"/>
        <v>0</v>
      </c>
    </row>
    <row r="236" spans="20:22" x14ac:dyDescent="0.25">
      <c r="T236">
        <v>236</v>
      </c>
      <c r="V236">
        <f t="shared" si="7"/>
        <v>0</v>
      </c>
    </row>
    <row r="237" spans="20:22" x14ac:dyDescent="0.25">
      <c r="T237">
        <v>237</v>
      </c>
      <c r="V237">
        <f t="shared" si="7"/>
        <v>0</v>
      </c>
    </row>
    <row r="238" spans="20:22" x14ac:dyDescent="0.25">
      <c r="T238">
        <v>238</v>
      </c>
      <c r="V238">
        <f t="shared" si="7"/>
        <v>0</v>
      </c>
    </row>
    <row r="239" spans="20:22" x14ac:dyDescent="0.25">
      <c r="T239">
        <v>239</v>
      </c>
      <c r="V239">
        <f t="shared" si="7"/>
        <v>0</v>
      </c>
    </row>
    <row r="240" spans="20:22" x14ac:dyDescent="0.25">
      <c r="T240">
        <v>240</v>
      </c>
      <c r="V240">
        <f t="shared" si="7"/>
        <v>0</v>
      </c>
    </row>
    <row r="241" spans="20:22" x14ac:dyDescent="0.25">
      <c r="T241">
        <v>241</v>
      </c>
      <c r="V241">
        <f t="shared" si="7"/>
        <v>0</v>
      </c>
    </row>
    <row r="242" spans="20:22" x14ac:dyDescent="0.25">
      <c r="T242">
        <v>242</v>
      </c>
      <c r="V242">
        <f t="shared" si="7"/>
        <v>0</v>
      </c>
    </row>
    <row r="243" spans="20:22" x14ac:dyDescent="0.25">
      <c r="T243">
        <v>243</v>
      </c>
      <c r="V243">
        <f t="shared" si="7"/>
        <v>0</v>
      </c>
    </row>
    <row r="244" spans="20:22" x14ac:dyDescent="0.25">
      <c r="T244">
        <v>244</v>
      </c>
      <c r="V244">
        <f t="shared" si="7"/>
        <v>0</v>
      </c>
    </row>
    <row r="245" spans="20:22" x14ac:dyDescent="0.25">
      <c r="T245">
        <v>245</v>
      </c>
      <c r="V245">
        <f t="shared" si="7"/>
        <v>0</v>
      </c>
    </row>
    <row r="246" spans="20:22" x14ac:dyDescent="0.25">
      <c r="T246">
        <v>246</v>
      </c>
      <c r="V246">
        <f t="shared" si="7"/>
        <v>0</v>
      </c>
    </row>
    <row r="247" spans="20:22" x14ac:dyDescent="0.25">
      <c r="T247">
        <v>247</v>
      </c>
      <c r="V247">
        <f t="shared" si="7"/>
        <v>0</v>
      </c>
    </row>
    <row r="248" spans="20:22" x14ac:dyDescent="0.25">
      <c r="T248">
        <v>248</v>
      </c>
      <c r="V248">
        <f t="shared" si="7"/>
        <v>0</v>
      </c>
    </row>
    <row r="249" spans="20:22" x14ac:dyDescent="0.25">
      <c r="T249">
        <v>249</v>
      </c>
      <c r="V249">
        <f t="shared" si="7"/>
        <v>0</v>
      </c>
    </row>
    <row r="250" spans="20:22" x14ac:dyDescent="0.25">
      <c r="T250">
        <v>250</v>
      </c>
      <c r="V250">
        <f t="shared" si="7"/>
        <v>0</v>
      </c>
    </row>
    <row r="251" spans="20:22" x14ac:dyDescent="0.25">
      <c r="T251">
        <v>251</v>
      </c>
      <c r="V251">
        <f t="shared" si="7"/>
        <v>0</v>
      </c>
    </row>
    <row r="252" spans="20:22" x14ac:dyDescent="0.25">
      <c r="T252">
        <v>252</v>
      </c>
      <c r="V252">
        <f t="shared" si="7"/>
        <v>0</v>
      </c>
    </row>
    <row r="253" spans="20:22" x14ac:dyDescent="0.25">
      <c r="T253">
        <v>253</v>
      </c>
      <c r="V253">
        <f t="shared" si="7"/>
        <v>0</v>
      </c>
    </row>
    <row r="254" spans="20:22" x14ac:dyDescent="0.25">
      <c r="T254">
        <v>254</v>
      </c>
      <c r="V254">
        <f t="shared" si="7"/>
        <v>0</v>
      </c>
    </row>
    <row r="255" spans="20:22" x14ac:dyDescent="0.25">
      <c r="T255">
        <v>255</v>
      </c>
      <c r="V255">
        <f t="shared" si="7"/>
        <v>0</v>
      </c>
    </row>
    <row r="256" spans="20:22" x14ac:dyDescent="0.25">
      <c r="T256">
        <v>256</v>
      </c>
      <c r="V256">
        <f t="shared" si="7"/>
        <v>0</v>
      </c>
    </row>
    <row r="257" spans="20:22" x14ac:dyDescent="0.25">
      <c r="T257">
        <v>257</v>
      </c>
      <c r="V257">
        <f t="shared" si="7"/>
        <v>0</v>
      </c>
    </row>
    <row r="258" spans="20:22" x14ac:dyDescent="0.25">
      <c r="T258">
        <v>258</v>
      </c>
      <c r="V258">
        <f t="shared" ref="V258:V321" si="8">U258*0.036</f>
        <v>0</v>
      </c>
    </row>
    <row r="259" spans="20:22" x14ac:dyDescent="0.25">
      <c r="T259">
        <v>259</v>
      </c>
      <c r="V259">
        <f t="shared" si="8"/>
        <v>0</v>
      </c>
    </row>
    <row r="260" spans="20:22" x14ac:dyDescent="0.25">
      <c r="T260">
        <v>260</v>
      </c>
      <c r="V260">
        <f t="shared" si="8"/>
        <v>0</v>
      </c>
    </row>
    <row r="261" spans="20:22" x14ac:dyDescent="0.25">
      <c r="T261">
        <v>261</v>
      </c>
      <c r="V261">
        <f t="shared" si="8"/>
        <v>0</v>
      </c>
    </row>
    <row r="262" spans="20:22" x14ac:dyDescent="0.25">
      <c r="T262">
        <v>262</v>
      </c>
      <c r="V262">
        <f t="shared" si="8"/>
        <v>0</v>
      </c>
    </row>
    <row r="263" spans="20:22" x14ac:dyDescent="0.25">
      <c r="T263">
        <v>263</v>
      </c>
      <c r="V263">
        <f t="shared" si="8"/>
        <v>0</v>
      </c>
    </row>
    <row r="264" spans="20:22" x14ac:dyDescent="0.25">
      <c r="T264">
        <v>264</v>
      </c>
      <c r="V264">
        <f t="shared" si="8"/>
        <v>0</v>
      </c>
    </row>
    <row r="265" spans="20:22" x14ac:dyDescent="0.25">
      <c r="T265">
        <v>265</v>
      </c>
      <c r="V265">
        <f t="shared" si="8"/>
        <v>0</v>
      </c>
    </row>
    <row r="266" spans="20:22" x14ac:dyDescent="0.25">
      <c r="T266">
        <v>266</v>
      </c>
      <c r="V266">
        <f t="shared" si="8"/>
        <v>0</v>
      </c>
    </row>
    <row r="267" spans="20:22" x14ac:dyDescent="0.25">
      <c r="T267">
        <v>267</v>
      </c>
      <c r="V267">
        <f t="shared" si="8"/>
        <v>0</v>
      </c>
    </row>
    <row r="268" spans="20:22" x14ac:dyDescent="0.25">
      <c r="T268">
        <v>268</v>
      </c>
      <c r="V268">
        <f t="shared" si="8"/>
        <v>0</v>
      </c>
    </row>
    <row r="269" spans="20:22" x14ac:dyDescent="0.25">
      <c r="T269">
        <v>269</v>
      </c>
      <c r="V269">
        <f t="shared" si="8"/>
        <v>0</v>
      </c>
    </row>
    <row r="270" spans="20:22" x14ac:dyDescent="0.25">
      <c r="T270">
        <v>270</v>
      </c>
      <c r="V270">
        <f t="shared" si="8"/>
        <v>0</v>
      </c>
    </row>
    <row r="271" spans="20:22" x14ac:dyDescent="0.25">
      <c r="T271">
        <v>271</v>
      </c>
      <c r="V271">
        <f t="shared" si="8"/>
        <v>0</v>
      </c>
    </row>
    <row r="272" spans="20:22" x14ac:dyDescent="0.25">
      <c r="T272">
        <v>272</v>
      </c>
      <c r="V272">
        <f t="shared" si="8"/>
        <v>0</v>
      </c>
    </row>
    <row r="273" spans="20:22" x14ac:dyDescent="0.25">
      <c r="T273">
        <v>273</v>
      </c>
      <c r="V273">
        <f t="shared" si="8"/>
        <v>0</v>
      </c>
    </row>
    <row r="274" spans="20:22" x14ac:dyDescent="0.25">
      <c r="T274">
        <v>274</v>
      </c>
      <c r="V274">
        <f t="shared" si="8"/>
        <v>0</v>
      </c>
    </row>
    <row r="275" spans="20:22" x14ac:dyDescent="0.25">
      <c r="T275">
        <v>275</v>
      </c>
      <c r="V275">
        <f t="shared" si="8"/>
        <v>0</v>
      </c>
    </row>
    <row r="276" spans="20:22" x14ac:dyDescent="0.25">
      <c r="T276">
        <v>276</v>
      </c>
      <c r="V276">
        <f t="shared" si="8"/>
        <v>0</v>
      </c>
    </row>
    <row r="277" spans="20:22" x14ac:dyDescent="0.25">
      <c r="T277">
        <v>277</v>
      </c>
      <c r="V277">
        <f t="shared" si="8"/>
        <v>0</v>
      </c>
    </row>
    <row r="278" spans="20:22" x14ac:dyDescent="0.25">
      <c r="T278">
        <v>278</v>
      </c>
      <c r="V278">
        <f t="shared" si="8"/>
        <v>0</v>
      </c>
    </row>
    <row r="279" spans="20:22" x14ac:dyDescent="0.25">
      <c r="T279">
        <v>279</v>
      </c>
      <c r="V279">
        <f t="shared" si="8"/>
        <v>0</v>
      </c>
    </row>
    <row r="280" spans="20:22" x14ac:dyDescent="0.25">
      <c r="T280">
        <v>280</v>
      </c>
      <c r="V280">
        <f t="shared" si="8"/>
        <v>0</v>
      </c>
    </row>
    <row r="281" spans="20:22" x14ac:dyDescent="0.25">
      <c r="T281">
        <v>281</v>
      </c>
      <c r="V281">
        <f t="shared" si="8"/>
        <v>0</v>
      </c>
    </row>
    <row r="282" spans="20:22" x14ac:dyDescent="0.25">
      <c r="T282">
        <v>282</v>
      </c>
      <c r="V282">
        <f t="shared" si="8"/>
        <v>0</v>
      </c>
    </row>
    <row r="283" spans="20:22" x14ac:dyDescent="0.25">
      <c r="T283">
        <v>283</v>
      </c>
      <c r="V283">
        <f t="shared" si="8"/>
        <v>0</v>
      </c>
    </row>
    <row r="284" spans="20:22" x14ac:dyDescent="0.25">
      <c r="T284">
        <v>284</v>
      </c>
      <c r="V284">
        <f t="shared" si="8"/>
        <v>0</v>
      </c>
    </row>
    <row r="285" spans="20:22" x14ac:dyDescent="0.25">
      <c r="T285">
        <v>285</v>
      </c>
      <c r="V285">
        <f t="shared" si="8"/>
        <v>0</v>
      </c>
    </row>
    <row r="286" spans="20:22" x14ac:dyDescent="0.25">
      <c r="T286">
        <v>286</v>
      </c>
      <c r="V286">
        <f t="shared" si="8"/>
        <v>0</v>
      </c>
    </row>
    <row r="287" spans="20:22" x14ac:dyDescent="0.25">
      <c r="T287">
        <v>287</v>
      </c>
      <c r="V287">
        <f t="shared" si="8"/>
        <v>0</v>
      </c>
    </row>
    <row r="288" spans="20:22" x14ac:dyDescent="0.25">
      <c r="T288">
        <v>288</v>
      </c>
      <c r="V288">
        <f t="shared" si="8"/>
        <v>0</v>
      </c>
    </row>
    <row r="289" spans="20:22" x14ac:dyDescent="0.25">
      <c r="T289">
        <v>289</v>
      </c>
      <c r="V289">
        <f t="shared" si="8"/>
        <v>0</v>
      </c>
    </row>
    <row r="290" spans="20:22" x14ac:dyDescent="0.25">
      <c r="T290">
        <v>290</v>
      </c>
      <c r="V290">
        <f t="shared" si="8"/>
        <v>0</v>
      </c>
    </row>
    <row r="291" spans="20:22" x14ac:dyDescent="0.25">
      <c r="T291">
        <v>291</v>
      </c>
      <c r="V291">
        <f t="shared" si="8"/>
        <v>0</v>
      </c>
    </row>
    <row r="292" spans="20:22" x14ac:dyDescent="0.25">
      <c r="T292">
        <v>292</v>
      </c>
      <c r="V292">
        <f t="shared" si="8"/>
        <v>0</v>
      </c>
    </row>
    <row r="293" spans="20:22" x14ac:dyDescent="0.25">
      <c r="T293">
        <v>293</v>
      </c>
      <c r="V293">
        <f t="shared" si="8"/>
        <v>0</v>
      </c>
    </row>
    <row r="294" spans="20:22" x14ac:dyDescent="0.25">
      <c r="T294">
        <v>294</v>
      </c>
      <c r="V294">
        <f t="shared" si="8"/>
        <v>0</v>
      </c>
    </row>
    <row r="295" spans="20:22" x14ac:dyDescent="0.25">
      <c r="T295">
        <v>295</v>
      </c>
      <c r="V295">
        <f t="shared" si="8"/>
        <v>0</v>
      </c>
    </row>
    <row r="296" spans="20:22" x14ac:dyDescent="0.25">
      <c r="T296">
        <v>296</v>
      </c>
      <c r="V296">
        <f t="shared" si="8"/>
        <v>0</v>
      </c>
    </row>
    <row r="297" spans="20:22" x14ac:dyDescent="0.25">
      <c r="T297">
        <v>297</v>
      </c>
      <c r="V297">
        <f t="shared" si="8"/>
        <v>0</v>
      </c>
    </row>
    <row r="298" spans="20:22" x14ac:dyDescent="0.25">
      <c r="T298">
        <v>298</v>
      </c>
      <c r="V298">
        <f t="shared" si="8"/>
        <v>0</v>
      </c>
    </row>
    <row r="299" spans="20:22" x14ac:dyDescent="0.25">
      <c r="T299">
        <v>299</v>
      </c>
      <c r="V299">
        <f t="shared" si="8"/>
        <v>0</v>
      </c>
    </row>
    <row r="300" spans="20:22" x14ac:dyDescent="0.25">
      <c r="T300">
        <v>300</v>
      </c>
      <c r="V300">
        <f t="shared" si="8"/>
        <v>0</v>
      </c>
    </row>
    <row r="301" spans="20:22" x14ac:dyDescent="0.25">
      <c r="T301">
        <v>301</v>
      </c>
      <c r="V301">
        <f t="shared" si="8"/>
        <v>0</v>
      </c>
    </row>
    <row r="302" spans="20:22" x14ac:dyDescent="0.25">
      <c r="T302">
        <v>302</v>
      </c>
      <c r="V302">
        <f t="shared" si="8"/>
        <v>0</v>
      </c>
    </row>
    <row r="303" spans="20:22" x14ac:dyDescent="0.25">
      <c r="T303">
        <v>303</v>
      </c>
      <c r="V303">
        <f t="shared" si="8"/>
        <v>0</v>
      </c>
    </row>
    <row r="304" spans="20:22" x14ac:dyDescent="0.25">
      <c r="T304">
        <v>304</v>
      </c>
      <c r="V304">
        <f t="shared" si="8"/>
        <v>0</v>
      </c>
    </row>
    <row r="305" spans="20:22" x14ac:dyDescent="0.25">
      <c r="T305">
        <v>305</v>
      </c>
      <c r="V305">
        <f t="shared" si="8"/>
        <v>0</v>
      </c>
    </row>
    <row r="306" spans="20:22" x14ac:dyDescent="0.25">
      <c r="T306">
        <v>306</v>
      </c>
      <c r="V306">
        <f t="shared" si="8"/>
        <v>0</v>
      </c>
    </row>
    <row r="307" spans="20:22" x14ac:dyDescent="0.25">
      <c r="T307">
        <v>307</v>
      </c>
      <c r="V307">
        <f t="shared" si="8"/>
        <v>0</v>
      </c>
    </row>
    <row r="308" spans="20:22" x14ac:dyDescent="0.25">
      <c r="T308">
        <v>308</v>
      </c>
      <c r="V308">
        <f t="shared" si="8"/>
        <v>0</v>
      </c>
    </row>
    <row r="309" spans="20:22" x14ac:dyDescent="0.25">
      <c r="T309">
        <v>309</v>
      </c>
      <c r="V309">
        <f t="shared" si="8"/>
        <v>0</v>
      </c>
    </row>
    <row r="310" spans="20:22" x14ac:dyDescent="0.25">
      <c r="T310">
        <v>310</v>
      </c>
      <c r="V310">
        <f t="shared" si="8"/>
        <v>0</v>
      </c>
    </row>
    <row r="311" spans="20:22" x14ac:dyDescent="0.25">
      <c r="T311">
        <v>311</v>
      </c>
      <c r="V311">
        <f t="shared" si="8"/>
        <v>0</v>
      </c>
    </row>
    <row r="312" spans="20:22" x14ac:dyDescent="0.25">
      <c r="T312">
        <v>312</v>
      </c>
      <c r="V312">
        <f t="shared" si="8"/>
        <v>0</v>
      </c>
    </row>
    <row r="313" spans="20:22" x14ac:dyDescent="0.25">
      <c r="T313">
        <v>313</v>
      </c>
      <c r="V313">
        <f t="shared" si="8"/>
        <v>0</v>
      </c>
    </row>
    <row r="314" spans="20:22" x14ac:dyDescent="0.25">
      <c r="T314">
        <v>314</v>
      </c>
      <c r="V314">
        <f t="shared" si="8"/>
        <v>0</v>
      </c>
    </row>
    <row r="315" spans="20:22" x14ac:dyDescent="0.25">
      <c r="T315">
        <v>315</v>
      </c>
      <c r="V315">
        <f t="shared" si="8"/>
        <v>0</v>
      </c>
    </row>
    <row r="316" spans="20:22" x14ac:dyDescent="0.25">
      <c r="T316">
        <v>316</v>
      </c>
      <c r="V316">
        <f t="shared" si="8"/>
        <v>0</v>
      </c>
    </row>
    <row r="317" spans="20:22" x14ac:dyDescent="0.25">
      <c r="T317">
        <v>317</v>
      </c>
      <c r="V317">
        <f t="shared" si="8"/>
        <v>0</v>
      </c>
    </row>
    <row r="318" spans="20:22" x14ac:dyDescent="0.25">
      <c r="T318">
        <v>318</v>
      </c>
      <c r="V318">
        <f t="shared" si="8"/>
        <v>0</v>
      </c>
    </row>
    <row r="319" spans="20:22" x14ac:dyDescent="0.25">
      <c r="T319">
        <v>319</v>
      </c>
      <c r="V319">
        <f t="shared" si="8"/>
        <v>0</v>
      </c>
    </row>
    <row r="320" spans="20:22" x14ac:dyDescent="0.25">
      <c r="T320">
        <v>320</v>
      </c>
      <c r="V320">
        <f t="shared" si="8"/>
        <v>0</v>
      </c>
    </row>
    <row r="321" spans="20:22" x14ac:dyDescent="0.25">
      <c r="T321">
        <v>321</v>
      </c>
      <c r="V321">
        <f t="shared" si="8"/>
        <v>0</v>
      </c>
    </row>
    <row r="322" spans="20:22" x14ac:dyDescent="0.25">
      <c r="T322">
        <v>322</v>
      </c>
      <c r="V322">
        <f t="shared" ref="V322:V385" si="9">U322*0.036</f>
        <v>0</v>
      </c>
    </row>
    <row r="323" spans="20:22" x14ac:dyDescent="0.25">
      <c r="T323">
        <v>323</v>
      </c>
      <c r="V323">
        <f t="shared" si="9"/>
        <v>0</v>
      </c>
    </row>
    <row r="324" spans="20:22" x14ac:dyDescent="0.25">
      <c r="T324">
        <v>324</v>
      </c>
      <c r="V324">
        <f t="shared" si="9"/>
        <v>0</v>
      </c>
    </row>
    <row r="325" spans="20:22" x14ac:dyDescent="0.25">
      <c r="T325">
        <v>325</v>
      </c>
      <c r="V325">
        <f t="shared" si="9"/>
        <v>0</v>
      </c>
    </row>
    <row r="326" spans="20:22" x14ac:dyDescent="0.25">
      <c r="T326">
        <v>326</v>
      </c>
      <c r="V326">
        <f t="shared" si="9"/>
        <v>0</v>
      </c>
    </row>
    <row r="327" spans="20:22" x14ac:dyDescent="0.25">
      <c r="T327">
        <v>327</v>
      </c>
      <c r="V327">
        <f t="shared" si="9"/>
        <v>0</v>
      </c>
    </row>
    <row r="328" spans="20:22" x14ac:dyDescent="0.25">
      <c r="T328">
        <v>328</v>
      </c>
      <c r="V328">
        <f t="shared" si="9"/>
        <v>0</v>
      </c>
    </row>
    <row r="329" spans="20:22" x14ac:dyDescent="0.25">
      <c r="T329">
        <v>329</v>
      </c>
      <c r="V329">
        <f t="shared" si="9"/>
        <v>0</v>
      </c>
    </row>
    <row r="330" spans="20:22" x14ac:dyDescent="0.25">
      <c r="T330">
        <v>330</v>
      </c>
      <c r="V330">
        <f t="shared" si="9"/>
        <v>0</v>
      </c>
    </row>
    <row r="331" spans="20:22" x14ac:dyDescent="0.25">
      <c r="T331">
        <v>331</v>
      </c>
      <c r="V331">
        <f t="shared" si="9"/>
        <v>0</v>
      </c>
    </row>
    <row r="332" spans="20:22" x14ac:dyDescent="0.25">
      <c r="T332">
        <v>332</v>
      </c>
      <c r="V332">
        <f t="shared" si="9"/>
        <v>0</v>
      </c>
    </row>
    <row r="333" spans="20:22" x14ac:dyDescent="0.25">
      <c r="T333">
        <v>333</v>
      </c>
      <c r="V333">
        <f t="shared" si="9"/>
        <v>0</v>
      </c>
    </row>
    <row r="334" spans="20:22" x14ac:dyDescent="0.25">
      <c r="T334">
        <v>334</v>
      </c>
      <c r="V334">
        <f t="shared" si="9"/>
        <v>0</v>
      </c>
    </row>
    <row r="335" spans="20:22" x14ac:dyDescent="0.25">
      <c r="T335">
        <v>335</v>
      </c>
      <c r="V335">
        <f t="shared" si="9"/>
        <v>0</v>
      </c>
    </row>
    <row r="336" spans="20:22" x14ac:dyDescent="0.25">
      <c r="T336">
        <v>336</v>
      </c>
      <c r="V336">
        <f t="shared" si="9"/>
        <v>0</v>
      </c>
    </row>
    <row r="337" spans="20:22" x14ac:dyDescent="0.25">
      <c r="T337">
        <v>337</v>
      </c>
      <c r="V337">
        <f t="shared" si="9"/>
        <v>0</v>
      </c>
    </row>
    <row r="338" spans="20:22" x14ac:dyDescent="0.25">
      <c r="T338">
        <v>338</v>
      </c>
      <c r="V338">
        <f t="shared" si="9"/>
        <v>0</v>
      </c>
    </row>
    <row r="339" spans="20:22" x14ac:dyDescent="0.25">
      <c r="T339">
        <v>339</v>
      </c>
      <c r="V339">
        <f t="shared" si="9"/>
        <v>0</v>
      </c>
    </row>
    <row r="340" spans="20:22" x14ac:dyDescent="0.25">
      <c r="T340">
        <v>340</v>
      </c>
      <c r="V340">
        <f t="shared" si="9"/>
        <v>0</v>
      </c>
    </row>
    <row r="341" spans="20:22" x14ac:dyDescent="0.25">
      <c r="T341">
        <v>341</v>
      </c>
      <c r="V341">
        <f t="shared" si="9"/>
        <v>0</v>
      </c>
    </row>
    <row r="342" spans="20:22" x14ac:dyDescent="0.25">
      <c r="T342">
        <v>342</v>
      </c>
      <c r="V342">
        <f t="shared" si="9"/>
        <v>0</v>
      </c>
    </row>
    <row r="343" spans="20:22" x14ac:dyDescent="0.25">
      <c r="T343">
        <v>343</v>
      </c>
      <c r="V343">
        <f t="shared" si="9"/>
        <v>0</v>
      </c>
    </row>
    <row r="344" spans="20:22" x14ac:dyDescent="0.25">
      <c r="T344">
        <v>344</v>
      </c>
      <c r="V344">
        <f t="shared" si="9"/>
        <v>0</v>
      </c>
    </row>
    <row r="345" spans="20:22" x14ac:dyDescent="0.25">
      <c r="T345">
        <v>345</v>
      </c>
      <c r="V345">
        <f t="shared" si="9"/>
        <v>0</v>
      </c>
    </row>
    <row r="346" spans="20:22" x14ac:dyDescent="0.25">
      <c r="T346">
        <v>346</v>
      </c>
      <c r="V346">
        <f t="shared" si="9"/>
        <v>0</v>
      </c>
    </row>
    <row r="347" spans="20:22" x14ac:dyDescent="0.25">
      <c r="T347">
        <v>347</v>
      </c>
      <c r="V347">
        <f t="shared" si="9"/>
        <v>0</v>
      </c>
    </row>
    <row r="348" spans="20:22" x14ac:dyDescent="0.25">
      <c r="T348">
        <v>348</v>
      </c>
      <c r="V348">
        <f t="shared" si="9"/>
        <v>0</v>
      </c>
    </row>
    <row r="349" spans="20:22" x14ac:dyDescent="0.25">
      <c r="T349">
        <v>349</v>
      </c>
      <c r="V349">
        <f t="shared" si="9"/>
        <v>0</v>
      </c>
    </row>
    <row r="350" spans="20:22" x14ac:dyDescent="0.25">
      <c r="T350">
        <v>350</v>
      </c>
      <c r="V350">
        <f t="shared" si="9"/>
        <v>0</v>
      </c>
    </row>
    <row r="351" spans="20:22" x14ac:dyDescent="0.25">
      <c r="T351">
        <v>351</v>
      </c>
      <c r="V351">
        <f t="shared" si="9"/>
        <v>0</v>
      </c>
    </row>
    <row r="352" spans="20:22" x14ac:dyDescent="0.25">
      <c r="T352">
        <v>352</v>
      </c>
      <c r="V352">
        <f t="shared" si="9"/>
        <v>0</v>
      </c>
    </row>
    <row r="353" spans="20:22" x14ac:dyDescent="0.25">
      <c r="T353">
        <v>353</v>
      </c>
      <c r="V353">
        <f t="shared" si="9"/>
        <v>0</v>
      </c>
    </row>
    <row r="354" spans="20:22" x14ac:dyDescent="0.25">
      <c r="T354">
        <v>354</v>
      </c>
      <c r="V354">
        <f t="shared" si="9"/>
        <v>0</v>
      </c>
    </row>
    <row r="355" spans="20:22" x14ac:dyDescent="0.25">
      <c r="T355">
        <v>355</v>
      </c>
      <c r="V355">
        <f t="shared" si="9"/>
        <v>0</v>
      </c>
    </row>
    <row r="356" spans="20:22" x14ac:dyDescent="0.25">
      <c r="T356">
        <v>356</v>
      </c>
      <c r="V356">
        <f t="shared" si="9"/>
        <v>0</v>
      </c>
    </row>
    <row r="357" spans="20:22" x14ac:dyDescent="0.25">
      <c r="T357">
        <v>357</v>
      </c>
      <c r="V357">
        <f t="shared" si="9"/>
        <v>0</v>
      </c>
    </row>
    <row r="358" spans="20:22" x14ac:dyDescent="0.25">
      <c r="T358">
        <v>358</v>
      </c>
      <c r="V358">
        <f t="shared" si="9"/>
        <v>0</v>
      </c>
    </row>
    <row r="359" spans="20:22" x14ac:dyDescent="0.25">
      <c r="T359">
        <v>359</v>
      </c>
      <c r="V359">
        <f t="shared" si="9"/>
        <v>0</v>
      </c>
    </row>
    <row r="360" spans="20:22" x14ac:dyDescent="0.25">
      <c r="T360">
        <v>360</v>
      </c>
      <c r="V360">
        <f t="shared" si="9"/>
        <v>0</v>
      </c>
    </row>
    <row r="361" spans="20:22" x14ac:dyDescent="0.25">
      <c r="T361">
        <v>361</v>
      </c>
      <c r="V361">
        <f t="shared" si="9"/>
        <v>0</v>
      </c>
    </row>
    <row r="362" spans="20:22" x14ac:dyDescent="0.25">
      <c r="T362">
        <v>362</v>
      </c>
      <c r="V362">
        <f t="shared" si="9"/>
        <v>0</v>
      </c>
    </row>
    <row r="363" spans="20:22" x14ac:dyDescent="0.25">
      <c r="T363">
        <v>363</v>
      </c>
      <c r="V363">
        <f t="shared" si="9"/>
        <v>0</v>
      </c>
    </row>
    <row r="364" spans="20:22" x14ac:dyDescent="0.25">
      <c r="T364">
        <v>364</v>
      </c>
      <c r="V364">
        <f t="shared" si="9"/>
        <v>0</v>
      </c>
    </row>
    <row r="365" spans="20:22" x14ac:dyDescent="0.25">
      <c r="T365">
        <v>365</v>
      </c>
      <c r="V365">
        <f t="shared" si="9"/>
        <v>0</v>
      </c>
    </row>
    <row r="366" spans="20:22" x14ac:dyDescent="0.25">
      <c r="T366">
        <v>366</v>
      </c>
      <c r="V366">
        <f t="shared" si="9"/>
        <v>0</v>
      </c>
    </row>
    <row r="367" spans="20:22" x14ac:dyDescent="0.25">
      <c r="T367">
        <v>367</v>
      </c>
      <c r="V367">
        <f t="shared" si="9"/>
        <v>0</v>
      </c>
    </row>
    <row r="368" spans="20:22" x14ac:dyDescent="0.25">
      <c r="T368">
        <v>368</v>
      </c>
      <c r="V368">
        <f t="shared" si="9"/>
        <v>0</v>
      </c>
    </row>
    <row r="369" spans="20:22" x14ac:dyDescent="0.25">
      <c r="T369">
        <v>369</v>
      </c>
      <c r="V369">
        <f t="shared" si="9"/>
        <v>0</v>
      </c>
    </row>
    <row r="370" spans="20:22" x14ac:dyDescent="0.25">
      <c r="T370">
        <v>370</v>
      </c>
      <c r="V370">
        <f t="shared" si="9"/>
        <v>0</v>
      </c>
    </row>
    <row r="371" spans="20:22" x14ac:dyDescent="0.25">
      <c r="T371">
        <v>371</v>
      </c>
      <c r="V371">
        <f t="shared" si="9"/>
        <v>0</v>
      </c>
    </row>
    <row r="372" spans="20:22" x14ac:dyDescent="0.25">
      <c r="T372">
        <v>372</v>
      </c>
      <c r="V372">
        <f t="shared" si="9"/>
        <v>0</v>
      </c>
    </row>
    <row r="373" spans="20:22" x14ac:dyDescent="0.25">
      <c r="T373">
        <v>373</v>
      </c>
      <c r="V373">
        <f t="shared" si="9"/>
        <v>0</v>
      </c>
    </row>
    <row r="374" spans="20:22" x14ac:dyDescent="0.25">
      <c r="T374">
        <v>374</v>
      </c>
      <c r="V374">
        <f t="shared" si="9"/>
        <v>0</v>
      </c>
    </row>
    <row r="375" spans="20:22" x14ac:dyDescent="0.25">
      <c r="T375">
        <v>375</v>
      </c>
      <c r="V375">
        <f t="shared" si="9"/>
        <v>0</v>
      </c>
    </row>
    <row r="376" spans="20:22" x14ac:dyDescent="0.25">
      <c r="T376">
        <v>376</v>
      </c>
      <c r="V376">
        <f t="shared" si="9"/>
        <v>0</v>
      </c>
    </row>
    <row r="377" spans="20:22" x14ac:dyDescent="0.25">
      <c r="T377">
        <v>377</v>
      </c>
      <c r="V377">
        <f t="shared" si="9"/>
        <v>0</v>
      </c>
    </row>
    <row r="378" spans="20:22" x14ac:dyDescent="0.25">
      <c r="T378">
        <v>378</v>
      </c>
      <c r="V378">
        <f t="shared" si="9"/>
        <v>0</v>
      </c>
    </row>
    <row r="379" spans="20:22" x14ac:dyDescent="0.25">
      <c r="T379">
        <v>379</v>
      </c>
      <c r="V379">
        <f t="shared" si="9"/>
        <v>0</v>
      </c>
    </row>
    <row r="380" spans="20:22" x14ac:dyDescent="0.25">
      <c r="T380">
        <v>380</v>
      </c>
      <c r="V380">
        <f t="shared" si="9"/>
        <v>0</v>
      </c>
    </row>
    <row r="381" spans="20:22" x14ac:dyDescent="0.25">
      <c r="T381">
        <v>381</v>
      </c>
      <c r="V381">
        <f t="shared" si="9"/>
        <v>0</v>
      </c>
    </row>
    <row r="382" spans="20:22" x14ac:dyDescent="0.25">
      <c r="T382">
        <v>382</v>
      </c>
      <c r="V382">
        <f t="shared" si="9"/>
        <v>0</v>
      </c>
    </row>
    <row r="383" spans="20:22" x14ac:dyDescent="0.25">
      <c r="T383">
        <v>383</v>
      </c>
      <c r="V383">
        <f t="shared" si="9"/>
        <v>0</v>
      </c>
    </row>
    <row r="384" spans="20:22" x14ac:dyDescent="0.25">
      <c r="T384">
        <v>384</v>
      </c>
      <c r="V384">
        <f t="shared" si="9"/>
        <v>0</v>
      </c>
    </row>
    <row r="385" spans="20:22" x14ac:dyDescent="0.25">
      <c r="T385">
        <v>385</v>
      </c>
      <c r="V385">
        <f t="shared" si="9"/>
        <v>0</v>
      </c>
    </row>
    <row r="386" spans="20:22" x14ac:dyDescent="0.25">
      <c r="T386">
        <v>386</v>
      </c>
      <c r="V386">
        <f t="shared" ref="V386:V449" si="10">U386*0.036</f>
        <v>0</v>
      </c>
    </row>
    <row r="387" spans="20:22" x14ac:dyDescent="0.25">
      <c r="T387">
        <v>387</v>
      </c>
      <c r="V387">
        <f t="shared" si="10"/>
        <v>0</v>
      </c>
    </row>
    <row r="388" spans="20:22" x14ac:dyDescent="0.25">
      <c r="T388">
        <v>388</v>
      </c>
      <c r="V388">
        <f t="shared" si="10"/>
        <v>0</v>
      </c>
    </row>
    <row r="389" spans="20:22" x14ac:dyDescent="0.25">
      <c r="T389">
        <v>389</v>
      </c>
      <c r="V389">
        <f t="shared" si="10"/>
        <v>0</v>
      </c>
    </row>
    <row r="390" spans="20:22" x14ac:dyDescent="0.25">
      <c r="T390">
        <v>390</v>
      </c>
      <c r="V390">
        <f t="shared" si="10"/>
        <v>0</v>
      </c>
    </row>
    <row r="391" spans="20:22" x14ac:dyDescent="0.25">
      <c r="T391">
        <v>391</v>
      </c>
      <c r="V391">
        <f t="shared" si="10"/>
        <v>0</v>
      </c>
    </row>
    <row r="392" spans="20:22" x14ac:dyDescent="0.25">
      <c r="T392">
        <v>392</v>
      </c>
      <c r="V392">
        <f t="shared" si="10"/>
        <v>0</v>
      </c>
    </row>
    <row r="393" spans="20:22" x14ac:dyDescent="0.25">
      <c r="T393">
        <v>393</v>
      </c>
      <c r="V393">
        <f t="shared" si="10"/>
        <v>0</v>
      </c>
    </row>
    <row r="394" spans="20:22" x14ac:dyDescent="0.25">
      <c r="T394">
        <v>394</v>
      </c>
      <c r="V394">
        <f t="shared" si="10"/>
        <v>0</v>
      </c>
    </row>
    <row r="395" spans="20:22" x14ac:dyDescent="0.25">
      <c r="T395">
        <v>395</v>
      </c>
      <c r="V395">
        <f t="shared" si="10"/>
        <v>0</v>
      </c>
    </row>
    <row r="396" spans="20:22" x14ac:dyDescent="0.25">
      <c r="T396">
        <v>396</v>
      </c>
      <c r="V396">
        <f t="shared" si="10"/>
        <v>0</v>
      </c>
    </row>
    <row r="397" spans="20:22" x14ac:dyDescent="0.25">
      <c r="T397">
        <v>397</v>
      </c>
      <c r="V397">
        <f t="shared" si="10"/>
        <v>0</v>
      </c>
    </row>
    <row r="398" spans="20:22" x14ac:dyDescent="0.25">
      <c r="T398">
        <v>398</v>
      </c>
      <c r="V398">
        <f t="shared" si="10"/>
        <v>0</v>
      </c>
    </row>
    <row r="399" spans="20:22" x14ac:dyDescent="0.25">
      <c r="T399">
        <v>399</v>
      </c>
      <c r="V399">
        <f t="shared" si="10"/>
        <v>0</v>
      </c>
    </row>
    <row r="400" spans="20:22" x14ac:dyDescent="0.25">
      <c r="T400">
        <v>400</v>
      </c>
      <c r="V400">
        <f t="shared" si="10"/>
        <v>0</v>
      </c>
    </row>
    <row r="401" spans="20:22" x14ac:dyDescent="0.25">
      <c r="T401">
        <v>401</v>
      </c>
      <c r="V401">
        <f t="shared" si="10"/>
        <v>0</v>
      </c>
    </row>
    <row r="402" spans="20:22" x14ac:dyDescent="0.25">
      <c r="T402">
        <v>402</v>
      </c>
      <c r="V402">
        <f t="shared" si="10"/>
        <v>0</v>
      </c>
    </row>
    <row r="403" spans="20:22" x14ac:dyDescent="0.25">
      <c r="T403">
        <v>403</v>
      </c>
      <c r="V403">
        <f t="shared" si="10"/>
        <v>0</v>
      </c>
    </row>
    <row r="404" spans="20:22" x14ac:dyDescent="0.25">
      <c r="T404">
        <v>404</v>
      </c>
      <c r="V404">
        <f t="shared" si="10"/>
        <v>0</v>
      </c>
    </row>
    <row r="405" spans="20:22" x14ac:dyDescent="0.25">
      <c r="T405">
        <v>405</v>
      </c>
      <c r="V405">
        <f t="shared" si="10"/>
        <v>0</v>
      </c>
    </row>
    <row r="406" spans="20:22" x14ac:dyDescent="0.25">
      <c r="T406">
        <v>406</v>
      </c>
      <c r="V406">
        <f t="shared" si="10"/>
        <v>0</v>
      </c>
    </row>
    <row r="407" spans="20:22" x14ac:dyDescent="0.25">
      <c r="T407">
        <v>407</v>
      </c>
      <c r="V407">
        <f t="shared" si="10"/>
        <v>0</v>
      </c>
    </row>
    <row r="408" spans="20:22" x14ac:dyDescent="0.25">
      <c r="T408">
        <v>408</v>
      </c>
      <c r="V408">
        <f t="shared" si="10"/>
        <v>0</v>
      </c>
    </row>
    <row r="409" spans="20:22" x14ac:dyDescent="0.25">
      <c r="T409">
        <v>409</v>
      </c>
      <c r="V409">
        <f t="shared" si="10"/>
        <v>0</v>
      </c>
    </row>
    <row r="410" spans="20:22" x14ac:dyDescent="0.25">
      <c r="T410">
        <v>410</v>
      </c>
      <c r="V410">
        <f t="shared" si="10"/>
        <v>0</v>
      </c>
    </row>
    <row r="411" spans="20:22" x14ac:dyDescent="0.25">
      <c r="T411">
        <v>411</v>
      </c>
      <c r="V411">
        <f t="shared" si="10"/>
        <v>0</v>
      </c>
    </row>
    <row r="412" spans="20:22" x14ac:dyDescent="0.25">
      <c r="T412">
        <v>412</v>
      </c>
      <c r="V412">
        <f t="shared" si="10"/>
        <v>0</v>
      </c>
    </row>
    <row r="413" spans="20:22" x14ac:dyDescent="0.25">
      <c r="T413">
        <v>413</v>
      </c>
      <c r="V413">
        <f t="shared" si="10"/>
        <v>0</v>
      </c>
    </row>
    <row r="414" spans="20:22" x14ac:dyDescent="0.25">
      <c r="T414">
        <v>414</v>
      </c>
      <c r="V414">
        <f t="shared" si="10"/>
        <v>0</v>
      </c>
    </row>
    <row r="415" spans="20:22" x14ac:dyDescent="0.25">
      <c r="T415">
        <v>415</v>
      </c>
      <c r="V415">
        <f t="shared" si="10"/>
        <v>0</v>
      </c>
    </row>
    <row r="416" spans="20:22" x14ac:dyDescent="0.25">
      <c r="T416">
        <v>416</v>
      </c>
      <c r="V416">
        <f t="shared" si="10"/>
        <v>0</v>
      </c>
    </row>
    <row r="417" spans="20:22" x14ac:dyDescent="0.25">
      <c r="T417">
        <v>417</v>
      </c>
      <c r="V417">
        <f t="shared" si="10"/>
        <v>0</v>
      </c>
    </row>
    <row r="418" spans="20:22" x14ac:dyDescent="0.25">
      <c r="T418">
        <v>418</v>
      </c>
      <c r="V418">
        <f t="shared" si="10"/>
        <v>0</v>
      </c>
    </row>
    <row r="419" spans="20:22" x14ac:dyDescent="0.25">
      <c r="T419">
        <v>419</v>
      </c>
      <c r="V419">
        <f t="shared" si="10"/>
        <v>0</v>
      </c>
    </row>
    <row r="420" spans="20:22" x14ac:dyDescent="0.25">
      <c r="T420">
        <v>420</v>
      </c>
      <c r="V420">
        <f t="shared" si="10"/>
        <v>0</v>
      </c>
    </row>
    <row r="421" spans="20:22" x14ac:dyDescent="0.25">
      <c r="T421">
        <v>421</v>
      </c>
      <c r="V421">
        <f t="shared" si="10"/>
        <v>0</v>
      </c>
    </row>
    <row r="422" spans="20:22" x14ac:dyDescent="0.25">
      <c r="T422">
        <v>422</v>
      </c>
      <c r="V422">
        <f t="shared" si="10"/>
        <v>0</v>
      </c>
    </row>
    <row r="423" spans="20:22" x14ac:dyDescent="0.25">
      <c r="T423">
        <v>423</v>
      </c>
      <c r="V423">
        <f t="shared" si="10"/>
        <v>0</v>
      </c>
    </row>
    <row r="424" spans="20:22" x14ac:dyDescent="0.25">
      <c r="T424">
        <v>424</v>
      </c>
      <c r="V424">
        <f t="shared" si="10"/>
        <v>0</v>
      </c>
    </row>
    <row r="425" spans="20:22" x14ac:dyDescent="0.25">
      <c r="T425">
        <v>425</v>
      </c>
      <c r="V425">
        <f t="shared" si="10"/>
        <v>0</v>
      </c>
    </row>
    <row r="426" spans="20:22" x14ac:dyDescent="0.25">
      <c r="T426">
        <v>426</v>
      </c>
      <c r="V426">
        <f t="shared" si="10"/>
        <v>0</v>
      </c>
    </row>
    <row r="427" spans="20:22" x14ac:dyDescent="0.25">
      <c r="T427">
        <v>427</v>
      </c>
      <c r="V427">
        <f t="shared" si="10"/>
        <v>0</v>
      </c>
    </row>
    <row r="428" spans="20:22" x14ac:dyDescent="0.25">
      <c r="T428">
        <v>428</v>
      </c>
      <c r="V428">
        <f t="shared" si="10"/>
        <v>0</v>
      </c>
    </row>
    <row r="429" spans="20:22" x14ac:dyDescent="0.25">
      <c r="T429">
        <v>429</v>
      </c>
      <c r="V429">
        <f t="shared" si="10"/>
        <v>0</v>
      </c>
    </row>
    <row r="430" spans="20:22" x14ac:dyDescent="0.25">
      <c r="T430">
        <v>430</v>
      </c>
      <c r="V430">
        <f t="shared" si="10"/>
        <v>0</v>
      </c>
    </row>
    <row r="431" spans="20:22" x14ac:dyDescent="0.25">
      <c r="T431">
        <v>431</v>
      </c>
      <c r="V431">
        <f t="shared" si="10"/>
        <v>0</v>
      </c>
    </row>
    <row r="432" spans="20:22" x14ac:dyDescent="0.25">
      <c r="T432">
        <v>432</v>
      </c>
      <c r="V432">
        <f t="shared" si="10"/>
        <v>0</v>
      </c>
    </row>
    <row r="433" spans="20:22" x14ac:dyDescent="0.25">
      <c r="T433">
        <v>433</v>
      </c>
      <c r="V433">
        <f t="shared" si="10"/>
        <v>0</v>
      </c>
    </row>
    <row r="434" spans="20:22" x14ac:dyDescent="0.25">
      <c r="T434">
        <v>434</v>
      </c>
      <c r="V434">
        <f t="shared" si="10"/>
        <v>0</v>
      </c>
    </row>
    <row r="435" spans="20:22" x14ac:dyDescent="0.25">
      <c r="T435">
        <v>435</v>
      </c>
      <c r="V435">
        <f t="shared" si="10"/>
        <v>0</v>
      </c>
    </row>
    <row r="436" spans="20:22" x14ac:dyDescent="0.25">
      <c r="T436">
        <v>436</v>
      </c>
      <c r="V436">
        <f t="shared" si="10"/>
        <v>0</v>
      </c>
    </row>
    <row r="437" spans="20:22" x14ac:dyDescent="0.25">
      <c r="T437">
        <v>437</v>
      </c>
      <c r="V437">
        <f t="shared" si="10"/>
        <v>0</v>
      </c>
    </row>
    <row r="438" spans="20:22" x14ac:dyDescent="0.25">
      <c r="T438">
        <v>438</v>
      </c>
      <c r="V438">
        <f t="shared" si="10"/>
        <v>0</v>
      </c>
    </row>
    <row r="439" spans="20:22" x14ac:dyDescent="0.25">
      <c r="T439">
        <v>439</v>
      </c>
      <c r="V439">
        <f t="shared" si="10"/>
        <v>0</v>
      </c>
    </row>
    <row r="440" spans="20:22" x14ac:dyDescent="0.25">
      <c r="T440">
        <v>440</v>
      </c>
      <c r="V440">
        <f t="shared" si="10"/>
        <v>0</v>
      </c>
    </row>
    <row r="441" spans="20:22" x14ac:dyDescent="0.25">
      <c r="T441">
        <v>441</v>
      </c>
      <c r="V441">
        <f t="shared" si="10"/>
        <v>0</v>
      </c>
    </row>
    <row r="442" spans="20:22" x14ac:dyDescent="0.25">
      <c r="T442">
        <v>442</v>
      </c>
      <c r="V442">
        <f t="shared" si="10"/>
        <v>0</v>
      </c>
    </row>
    <row r="443" spans="20:22" x14ac:dyDescent="0.25">
      <c r="T443">
        <v>443</v>
      </c>
      <c r="V443">
        <f t="shared" si="10"/>
        <v>0</v>
      </c>
    </row>
    <row r="444" spans="20:22" x14ac:dyDescent="0.25">
      <c r="T444">
        <v>444</v>
      </c>
      <c r="V444">
        <f t="shared" si="10"/>
        <v>0</v>
      </c>
    </row>
    <row r="445" spans="20:22" x14ac:dyDescent="0.25">
      <c r="T445">
        <v>445</v>
      </c>
      <c r="V445">
        <f t="shared" si="10"/>
        <v>0</v>
      </c>
    </row>
    <row r="446" spans="20:22" x14ac:dyDescent="0.25">
      <c r="T446">
        <v>446</v>
      </c>
      <c r="V446">
        <f t="shared" si="10"/>
        <v>0</v>
      </c>
    </row>
    <row r="447" spans="20:22" x14ac:dyDescent="0.25">
      <c r="T447">
        <v>447</v>
      </c>
      <c r="V447">
        <f t="shared" si="10"/>
        <v>0</v>
      </c>
    </row>
    <row r="448" spans="20:22" x14ac:dyDescent="0.25">
      <c r="T448">
        <v>448</v>
      </c>
      <c r="V448">
        <f t="shared" si="10"/>
        <v>0</v>
      </c>
    </row>
    <row r="449" spans="20:22" x14ac:dyDescent="0.25">
      <c r="T449">
        <v>449</v>
      </c>
      <c r="V449">
        <f t="shared" si="10"/>
        <v>0</v>
      </c>
    </row>
    <row r="450" spans="20:22" x14ac:dyDescent="0.25">
      <c r="T450">
        <v>450</v>
      </c>
      <c r="V450">
        <f t="shared" ref="V450:V500" si="11">U450*0.036</f>
        <v>0</v>
      </c>
    </row>
    <row r="451" spans="20:22" x14ac:dyDescent="0.25">
      <c r="T451">
        <v>451</v>
      </c>
      <c r="V451">
        <f t="shared" si="11"/>
        <v>0</v>
      </c>
    </row>
    <row r="452" spans="20:22" x14ac:dyDescent="0.25">
      <c r="T452">
        <v>452</v>
      </c>
      <c r="V452">
        <f t="shared" si="11"/>
        <v>0</v>
      </c>
    </row>
    <row r="453" spans="20:22" x14ac:dyDescent="0.25">
      <c r="T453">
        <v>453</v>
      </c>
      <c r="V453">
        <f t="shared" si="11"/>
        <v>0</v>
      </c>
    </row>
    <row r="454" spans="20:22" x14ac:dyDescent="0.25">
      <c r="T454">
        <v>454</v>
      </c>
      <c r="V454">
        <f t="shared" si="11"/>
        <v>0</v>
      </c>
    </row>
    <row r="455" spans="20:22" x14ac:dyDescent="0.25">
      <c r="T455">
        <v>455</v>
      </c>
      <c r="V455">
        <f t="shared" si="11"/>
        <v>0</v>
      </c>
    </row>
    <row r="456" spans="20:22" x14ac:dyDescent="0.25">
      <c r="T456">
        <v>456</v>
      </c>
      <c r="V456">
        <f t="shared" si="11"/>
        <v>0</v>
      </c>
    </row>
    <row r="457" spans="20:22" x14ac:dyDescent="0.25">
      <c r="T457">
        <v>457</v>
      </c>
      <c r="V457">
        <f t="shared" si="11"/>
        <v>0</v>
      </c>
    </row>
    <row r="458" spans="20:22" x14ac:dyDescent="0.25">
      <c r="T458">
        <v>458</v>
      </c>
      <c r="V458">
        <f t="shared" si="11"/>
        <v>0</v>
      </c>
    </row>
    <row r="459" spans="20:22" x14ac:dyDescent="0.25">
      <c r="T459">
        <v>459</v>
      </c>
      <c r="V459">
        <f t="shared" si="11"/>
        <v>0</v>
      </c>
    </row>
    <row r="460" spans="20:22" x14ac:dyDescent="0.25">
      <c r="T460">
        <v>460</v>
      </c>
      <c r="V460">
        <f t="shared" si="11"/>
        <v>0</v>
      </c>
    </row>
    <row r="461" spans="20:22" x14ac:dyDescent="0.25">
      <c r="T461">
        <v>461</v>
      </c>
      <c r="V461">
        <f t="shared" si="11"/>
        <v>0</v>
      </c>
    </row>
    <row r="462" spans="20:22" x14ac:dyDescent="0.25">
      <c r="T462">
        <v>462</v>
      </c>
      <c r="V462">
        <f t="shared" si="11"/>
        <v>0</v>
      </c>
    </row>
    <row r="463" spans="20:22" x14ac:dyDescent="0.25">
      <c r="T463">
        <v>463</v>
      </c>
      <c r="V463">
        <f t="shared" si="11"/>
        <v>0</v>
      </c>
    </row>
    <row r="464" spans="20:22" x14ac:dyDescent="0.25">
      <c r="T464">
        <v>464</v>
      </c>
      <c r="V464">
        <f t="shared" si="11"/>
        <v>0</v>
      </c>
    </row>
    <row r="465" spans="20:22" x14ac:dyDescent="0.25">
      <c r="T465">
        <v>465</v>
      </c>
      <c r="V465">
        <f t="shared" si="11"/>
        <v>0</v>
      </c>
    </row>
    <row r="466" spans="20:22" x14ac:dyDescent="0.25">
      <c r="T466">
        <v>466</v>
      </c>
      <c r="V466">
        <f t="shared" si="11"/>
        <v>0</v>
      </c>
    </row>
    <row r="467" spans="20:22" x14ac:dyDescent="0.25">
      <c r="T467">
        <v>467</v>
      </c>
      <c r="V467">
        <f t="shared" si="11"/>
        <v>0</v>
      </c>
    </row>
    <row r="468" spans="20:22" x14ac:dyDescent="0.25">
      <c r="T468">
        <v>468</v>
      </c>
      <c r="V468">
        <f t="shared" si="11"/>
        <v>0</v>
      </c>
    </row>
    <row r="469" spans="20:22" x14ac:dyDescent="0.25">
      <c r="T469">
        <v>469</v>
      </c>
      <c r="V469">
        <f t="shared" si="11"/>
        <v>0</v>
      </c>
    </row>
    <row r="470" spans="20:22" x14ac:dyDescent="0.25">
      <c r="T470">
        <v>470</v>
      </c>
      <c r="V470">
        <f t="shared" si="11"/>
        <v>0</v>
      </c>
    </row>
    <row r="471" spans="20:22" x14ac:dyDescent="0.25">
      <c r="T471">
        <v>471</v>
      </c>
      <c r="V471">
        <f t="shared" si="11"/>
        <v>0</v>
      </c>
    </row>
    <row r="472" spans="20:22" x14ac:dyDescent="0.25">
      <c r="T472">
        <v>472</v>
      </c>
      <c r="V472">
        <f t="shared" si="11"/>
        <v>0</v>
      </c>
    </row>
    <row r="473" spans="20:22" x14ac:dyDescent="0.25">
      <c r="T473">
        <v>473</v>
      </c>
      <c r="V473">
        <f t="shared" si="11"/>
        <v>0</v>
      </c>
    </row>
    <row r="474" spans="20:22" x14ac:dyDescent="0.25">
      <c r="T474">
        <v>474</v>
      </c>
      <c r="V474">
        <f t="shared" si="11"/>
        <v>0</v>
      </c>
    </row>
    <row r="475" spans="20:22" x14ac:dyDescent="0.25">
      <c r="T475">
        <v>475</v>
      </c>
      <c r="V475">
        <f t="shared" si="11"/>
        <v>0</v>
      </c>
    </row>
    <row r="476" spans="20:22" x14ac:dyDescent="0.25">
      <c r="T476">
        <v>476</v>
      </c>
      <c r="V476">
        <f t="shared" si="11"/>
        <v>0</v>
      </c>
    </row>
    <row r="477" spans="20:22" x14ac:dyDescent="0.25">
      <c r="T477">
        <v>477</v>
      </c>
      <c r="V477">
        <f t="shared" si="11"/>
        <v>0</v>
      </c>
    </row>
    <row r="478" spans="20:22" x14ac:dyDescent="0.25">
      <c r="T478">
        <v>478</v>
      </c>
      <c r="V478">
        <f t="shared" si="11"/>
        <v>0</v>
      </c>
    </row>
    <row r="479" spans="20:22" x14ac:dyDescent="0.25">
      <c r="T479">
        <v>479</v>
      </c>
      <c r="V479">
        <f t="shared" si="11"/>
        <v>0</v>
      </c>
    </row>
    <row r="480" spans="20:22" x14ac:dyDescent="0.25">
      <c r="T480">
        <v>480</v>
      </c>
      <c r="V480">
        <f t="shared" si="11"/>
        <v>0</v>
      </c>
    </row>
    <row r="481" spans="20:22" x14ac:dyDescent="0.25">
      <c r="T481">
        <v>481</v>
      </c>
      <c r="V481">
        <f t="shared" si="11"/>
        <v>0</v>
      </c>
    </row>
    <row r="482" spans="20:22" x14ac:dyDescent="0.25">
      <c r="T482">
        <v>482</v>
      </c>
      <c r="V482">
        <f t="shared" si="11"/>
        <v>0</v>
      </c>
    </row>
    <row r="483" spans="20:22" x14ac:dyDescent="0.25">
      <c r="T483">
        <v>483</v>
      </c>
      <c r="V483">
        <f t="shared" si="11"/>
        <v>0</v>
      </c>
    </row>
    <row r="484" spans="20:22" x14ac:dyDescent="0.25">
      <c r="T484">
        <v>484</v>
      </c>
      <c r="V484">
        <f t="shared" si="11"/>
        <v>0</v>
      </c>
    </row>
    <row r="485" spans="20:22" x14ac:dyDescent="0.25">
      <c r="T485">
        <v>485</v>
      </c>
      <c r="V485">
        <f t="shared" si="11"/>
        <v>0</v>
      </c>
    </row>
    <row r="486" spans="20:22" x14ac:dyDescent="0.25">
      <c r="T486">
        <v>486</v>
      </c>
      <c r="V486">
        <f t="shared" si="11"/>
        <v>0</v>
      </c>
    </row>
    <row r="487" spans="20:22" x14ac:dyDescent="0.25">
      <c r="T487">
        <v>487</v>
      </c>
      <c r="V487">
        <f t="shared" si="11"/>
        <v>0</v>
      </c>
    </row>
    <row r="488" spans="20:22" x14ac:dyDescent="0.25">
      <c r="T488">
        <v>488</v>
      </c>
      <c r="V488">
        <f t="shared" si="11"/>
        <v>0</v>
      </c>
    </row>
    <row r="489" spans="20:22" x14ac:dyDescent="0.25">
      <c r="T489">
        <v>489</v>
      </c>
      <c r="V489">
        <f t="shared" si="11"/>
        <v>0</v>
      </c>
    </row>
    <row r="490" spans="20:22" x14ac:dyDescent="0.25">
      <c r="T490">
        <v>490</v>
      </c>
      <c r="V490">
        <f t="shared" si="11"/>
        <v>0</v>
      </c>
    </row>
    <row r="491" spans="20:22" x14ac:dyDescent="0.25">
      <c r="T491">
        <v>491</v>
      </c>
      <c r="V491">
        <f t="shared" si="11"/>
        <v>0</v>
      </c>
    </row>
    <row r="492" spans="20:22" x14ac:dyDescent="0.25">
      <c r="T492">
        <v>492</v>
      </c>
      <c r="V492">
        <f t="shared" si="11"/>
        <v>0</v>
      </c>
    </row>
    <row r="493" spans="20:22" x14ac:dyDescent="0.25">
      <c r="T493">
        <v>493</v>
      </c>
      <c r="V493">
        <f t="shared" si="11"/>
        <v>0</v>
      </c>
    </row>
    <row r="494" spans="20:22" x14ac:dyDescent="0.25">
      <c r="T494">
        <v>494</v>
      </c>
      <c r="V494">
        <f t="shared" si="11"/>
        <v>0</v>
      </c>
    </row>
    <row r="495" spans="20:22" x14ac:dyDescent="0.25">
      <c r="T495">
        <v>495</v>
      </c>
      <c r="V495">
        <f t="shared" si="11"/>
        <v>0</v>
      </c>
    </row>
    <row r="496" spans="20:22" x14ac:dyDescent="0.25">
      <c r="T496">
        <v>496</v>
      </c>
      <c r="V496">
        <f t="shared" si="11"/>
        <v>0</v>
      </c>
    </row>
    <row r="497" spans="20:22" x14ac:dyDescent="0.25">
      <c r="T497">
        <v>497</v>
      </c>
      <c r="V497">
        <f t="shared" si="11"/>
        <v>0</v>
      </c>
    </row>
    <row r="498" spans="20:22" x14ac:dyDescent="0.25">
      <c r="T498">
        <v>498</v>
      </c>
      <c r="V498">
        <f t="shared" si="11"/>
        <v>0</v>
      </c>
    </row>
    <row r="499" spans="20:22" x14ac:dyDescent="0.25">
      <c r="T499">
        <v>499</v>
      </c>
      <c r="V499">
        <f t="shared" si="11"/>
        <v>0</v>
      </c>
    </row>
    <row r="500" spans="20:22" x14ac:dyDescent="0.25">
      <c r="T500">
        <v>500</v>
      </c>
      <c r="V500">
        <f t="shared" si="11"/>
        <v>0</v>
      </c>
    </row>
  </sheetData>
  <sortState ref="O2:P61">
    <sortCondition ref="O2:O61"/>
  </sortState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D6"/>
  <sheetViews>
    <sheetView workbookViewId="0">
      <selection activeCell="D1" sqref="D1"/>
    </sheetView>
  </sheetViews>
  <sheetFormatPr baseColWidth="10" defaultRowHeight="15" x14ac:dyDescent="0.25"/>
  <sheetData>
    <row r="1" spans="1:4" ht="17.25" thickBot="1" x14ac:dyDescent="0.35">
      <c r="A1" s="61" t="s">
        <v>148</v>
      </c>
      <c r="B1" s="61" t="s">
        <v>149</v>
      </c>
      <c r="D1" s="64">
        <f>FORECAST(30, A2:A6, B2:B6)</f>
        <v>10.607253086419755</v>
      </c>
    </row>
    <row r="2" spans="1:4" ht="17.25" thickBot="1" x14ac:dyDescent="0.3">
      <c r="A2" s="62">
        <v>6</v>
      </c>
      <c r="B2" s="62">
        <v>20</v>
      </c>
    </row>
    <row r="3" spans="1:4" ht="17.25" thickBot="1" x14ac:dyDescent="0.3">
      <c r="A3" s="63">
        <v>7</v>
      </c>
      <c r="B3" s="63">
        <v>28</v>
      </c>
    </row>
    <row r="4" spans="1:4" ht="17.25" thickBot="1" x14ac:dyDescent="0.3">
      <c r="A4" s="62">
        <v>9</v>
      </c>
      <c r="B4" s="62">
        <v>31</v>
      </c>
    </row>
    <row r="5" spans="1:4" ht="17.25" thickBot="1" x14ac:dyDescent="0.3">
      <c r="A5" s="63">
        <v>15</v>
      </c>
      <c r="B5" s="63">
        <v>38</v>
      </c>
    </row>
    <row r="6" spans="1:4" ht="17.25" thickBot="1" x14ac:dyDescent="0.3">
      <c r="A6" s="62">
        <v>21</v>
      </c>
      <c r="B6" s="62">
        <v>40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Calcul</vt:lpstr>
      <vt:lpstr>Releves</vt:lpstr>
      <vt:lpstr>Cadences</vt:lpstr>
      <vt:lpstr>abaques</vt:lpstr>
      <vt:lpstr>Cinématique</vt:lpstr>
      <vt:lpstr>Manutention</vt:lpstr>
      <vt:lpstr>Retournement</vt:lpstr>
      <vt:lpstr>Feuil1</vt:lpstr>
      <vt:lpstr>Calcul!Zone_d_impression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2014-10-30T14:03:16Z</cp:lastPrinted>
  <dcterms:created xsi:type="dcterms:W3CDTF">2014-10-06T12:48:29Z</dcterms:created>
  <dcterms:modified xsi:type="dcterms:W3CDTF">2014-10-30T15:47:15Z</dcterms:modified>
</cp:coreProperties>
</file>