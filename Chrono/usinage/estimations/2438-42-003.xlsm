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queryTables/queryTable1.xml" ContentType="application/vnd.openxmlformats-officedocument.spreadsheetml.queryTable+xml"/>
  <Override PartName="/xl/tables/table13.xml" ContentType="application/vnd.openxmlformats-officedocument.spreadsheetml.table+xml"/>
  <Override PartName="/xl/queryTables/queryTable2.xml" ContentType="application/vnd.openxmlformats-officedocument.spreadsheetml.queryTable+xml"/>
  <Override PartName="/xl/tables/table14.xml" ContentType="application/vnd.openxmlformats-officedocument.spreadsheetml.table+xml"/>
  <Override PartName="/xl/queryTables/queryTable3.xml" ContentType="application/vnd.openxmlformats-officedocument.spreadsheetml.queryTable+xml"/>
  <Override PartName="/xl/tables/table15.xml" ContentType="application/vnd.openxmlformats-officedocument.spreadsheetml.table+xml"/>
  <Override PartName="/xl/queryTables/queryTable4.xml" ContentType="application/vnd.openxmlformats-officedocument.spreadsheetml.queryTable+xml"/>
  <Override PartName="/xl/tables/table16.xml" ContentType="application/vnd.openxmlformats-officedocument.spreadsheetml.table+xml"/>
  <Override PartName="/xl/queryTables/queryTable5.xml" ContentType="application/vnd.openxmlformats-officedocument.spreadsheetml.queryTable+xml"/>
  <Override PartName="/xl/tables/table17.xml" ContentType="application/vnd.openxmlformats-officedocument.spreadsheetml.table+xml"/>
  <Override PartName="/xl/queryTables/queryTable6.xml" ContentType="application/vnd.openxmlformats-officedocument.spreadsheetml.queryTable+xml"/>
  <Override PartName="/xl/tables/table18.xml" ContentType="application/vnd.openxmlformats-officedocument.spreadsheetml.table+xml"/>
  <Override PartName="/xl/queryTables/queryTable7.xml" ContentType="application/vnd.openxmlformats-officedocument.spreadsheetml.queryTable+xml"/>
  <Override PartName="/xl/tables/table19.xml" ContentType="application/vnd.openxmlformats-officedocument.spreadsheetml.table+xml"/>
  <Override PartName="/xl/queryTables/queryTable8.xml" ContentType="application/vnd.openxmlformats-officedocument.spreadsheetml.queryTable+xml"/>
  <Override PartName="/xl/tables/table20.xml" ContentType="application/vnd.openxmlformats-officedocument.spreadsheetml.table+xml"/>
  <Override PartName="/xl/queryTables/queryTable9.xml" ContentType="application/vnd.openxmlformats-officedocument.spreadsheetml.query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4780" windowHeight="12405" tabRatio="340" firstSheet="1" activeTab="1"/>
  </bookViews>
  <sheets>
    <sheet name="Calcul Sequence" sheetId="4" state="hidden" r:id="rId1"/>
    <sheet name="Calcul Temps Technique" sheetId="1" r:id="rId2"/>
    <sheet name="Abaques" sheetId="3" state="hidden" r:id="rId3"/>
    <sheet name="Manutention" sheetId="5" state="hidden" r:id="rId4"/>
    <sheet name="Feuille Inventaire" sheetId="6" state="hidden" r:id="rId5"/>
  </sheets>
  <functionGroups builtInGroupCount="17"/>
  <definedNames>
    <definedName name="Alesage">Abaques!$AV$3</definedName>
    <definedName name="AlesageExt">Abaques!$AV$3:$AY$3</definedName>
    <definedName name="calcul_operation">'Calcul Temps Technique'!$C$11:$C$30</definedName>
    <definedName name="CalculEpaisseur">'Calcul Temps Technique'!$D$4</definedName>
    <definedName name="Chanfreinage">Tableau_Chanfreinage[Description]</definedName>
    <definedName name="ChanfreinageExt">Tableau_Chanfreinage[]</definedName>
    <definedName name="Contournage">Abaques!$AP$3:$AP$4</definedName>
    <definedName name="ContournageExt">Abaques!$AP$3:$AT$4</definedName>
    <definedName name="FiletageGaz">Abaques!$AF$3:$AF$14</definedName>
    <definedName name="FiletageGazExt">Abaques!$AF$3:$AH$14</definedName>
    <definedName name="FiletageMetrique">Tableau_Taraudage[Diametre]</definedName>
    <definedName name="FiletageMetriqueExt">Tableau_Taraudage[]</definedName>
    <definedName name="FraiseEbauche">Tableau_FraiseEbauche[Diametre]</definedName>
    <definedName name="FraiseEbaucheExt">Tableau_FraiseEbauche[[Diametre]:[Description]]</definedName>
    <definedName name="FraiseFinition">Tableau_FraiseFinition[Diametre]</definedName>
    <definedName name="FraiseFinitionExt">Tableau_FraiseFinition[]</definedName>
    <definedName name="GrainFinition">Tableau_GrainFinition[Description]</definedName>
    <definedName name="GrainFinition_DiametreMaxi">Abaques!$CN$1</definedName>
    <definedName name="GrainFinition_DiametreMini">Abaques!$CM$1</definedName>
    <definedName name="GrainFinitionExt">Tableau_GrainFinition[]</definedName>
    <definedName name="Matieres">Abaques!$C$3:$C$4</definedName>
    <definedName name="MatieresExt">Abaques!$C$2:$D$4</definedName>
    <definedName name="Metalhom.accdb" localSheetId="2" hidden="1">Abaques!$CA$2:$CI$12</definedName>
    <definedName name="Metalhom.accdb_1" localSheetId="2" hidden="1">Abaques!$CK$2:$CU$8</definedName>
    <definedName name="Metalhom.accdb_2" localSheetId="2" hidden="1">Abaques!$CW$2:$DD$6</definedName>
    <definedName name="Metalhom.accdb_3" localSheetId="2" hidden="1">Abaques!$DF$2:$DN$11</definedName>
    <definedName name="Metalhom.accdb_4" localSheetId="2" hidden="1">Abaques!$DP$2:$DW$8</definedName>
    <definedName name="Metalhom.accdb_5" localSheetId="2" hidden="1">Abaques!$BK$2:$BP$59</definedName>
    <definedName name="Metalhom.accdb_6" localSheetId="2" hidden="1">Abaques!$BE$2:$BI$9</definedName>
    <definedName name="Metalhom.accdb_7" localSheetId="2" hidden="1">Abaques!$DY$2:$EF$8</definedName>
    <definedName name="Metalhom_R_OutilUsinage_Percage" localSheetId="2" hidden="1">Abaques!$BR$2:$BY$48</definedName>
    <definedName name="Nuance">Tableau_NuanceMere[Nuance]</definedName>
    <definedName name="NuanceExt">Tableau_NuanceMere[]</definedName>
    <definedName name="Operations">Abaques!$A$3:$A$9</definedName>
    <definedName name="Percage">Tableau_Percage[Diametre]</definedName>
    <definedName name="PercageExt">Tableau_Percage[[Diametre]:[APlaquette]]</definedName>
    <definedName name="Surfacage">Tableau_Surfacage[Description]</definedName>
    <definedName name="SurfacageExt">Tableau_Surfacage[]</definedName>
    <definedName name="TypeOutil">Abaques!$F$3:$F$5</definedName>
    <definedName name="_xlnm.Print_Area" localSheetId="0">'Calcul Sequence'!$A$1:$O$32</definedName>
    <definedName name="_xlnm.Print_Area" localSheetId="1">'Calcul Temps Technique'!$C$2:$M$16</definedName>
  </definedNames>
  <calcPr calcId="145621"/>
</workbook>
</file>

<file path=xl/calcChain.xml><?xml version="1.0" encoding="utf-8"?>
<calcChain xmlns="http://schemas.openxmlformats.org/spreadsheetml/2006/main">
  <c r="M16" i="1" l="1"/>
  <c r="L16" i="1"/>
  <c r="K16" i="1"/>
  <c r="J16" i="1"/>
  <c r="I16" i="1"/>
  <c r="H16" i="1"/>
  <c r="E16" i="1"/>
  <c r="B16" i="1"/>
  <c r="M15" i="1"/>
  <c r="L15" i="1"/>
  <c r="K15" i="1"/>
  <c r="J15" i="1"/>
  <c r="I15" i="1"/>
  <c r="H15" i="1"/>
  <c r="E15" i="1"/>
  <c r="B15" i="1"/>
  <c r="M14" i="1"/>
  <c r="L14" i="1"/>
  <c r="K14" i="1"/>
  <c r="J14" i="1"/>
  <c r="I14" i="1"/>
  <c r="H14" i="1"/>
  <c r="M13" i="1"/>
  <c r="L13" i="1"/>
  <c r="K13" i="1"/>
  <c r="J13" i="1"/>
  <c r="I13" i="1"/>
  <c r="H13" i="1"/>
  <c r="M12" i="1"/>
  <c r="L12" i="1"/>
  <c r="K12" i="1"/>
  <c r="J12" i="1"/>
  <c r="I12" i="1"/>
  <c r="H12" i="1"/>
  <c r="M11" i="1"/>
  <c r="L11" i="1"/>
  <c r="K11" i="1"/>
  <c r="J11" i="1"/>
  <c r="I11" i="1"/>
  <c r="H11" i="1"/>
  <c r="S2" i="1" l="1"/>
  <c r="B5" i="1" l="1"/>
  <c r="Q3" i="1" s="1"/>
  <c r="CM1" i="3" l="1"/>
  <c r="CN1" i="3"/>
  <c r="BC4" i="3" l="1"/>
  <c r="B1" i="4" l="1"/>
  <c r="M29" i="4" l="1"/>
  <c r="M23" i="4"/>
  <c r="C5" i="4" l="1"/>
  <c r="C6" i="4"/>
  <c r="C31" i="4"/>
  <c r="H31" i="4"/>
  <c r="G31" i="4"/>
  <c r="F31" i="4"/>
  <c r="H29" i="4"/>
  <c r="G29" i="4"/>
  <c r="F29" i="4"/>
  <c r="E29" i="4"/>
  <c r="D29" i="4"/>
  <c r="C29" i="4"/>
  <c r="E27" i="4"/>
  <c r="F27" i="4"/>
  <c r="G27" i="4"/>
  <c r="H27" i="4"/>
  <c r="D27" i="4"/>
  <c r="C27" i="4"/>
  <c r="N23" i="4"/>
  <c r="O23" i="4" s="1"/>
  <c r="N24" i="4"/>
  <c r="O24" i="4" s="1"/>
  <c r="N25" i="4"/>
  <c r="O25" i="4" s="1"/>
  <c r="N28" i="4"/>
  <c r="O28" i="4" s="1"/>
  <c r="D30" i="4"/>
  <c r="G30" i="4"/>
  <c r="H30" i="4"/>
  <c r="C30" i="4"/>
  <c r="J2" i="5"/>
  <c r="J3" i="5" s="1"/>
  <c r="J4" i="5" s="1"/>
  <c r="K2" i="5"/>
  <c r="J10" i="5" s="1"/>
  <c r="O3" i="5"/>
  <c r="N27" i="4" l="1"/>
  <c r="O27" i="4" s="1"/>
  <c r="K10" i="5"/>
  <c r="L10" i="5" s="1"/>
  <c r="M30" i="4"/>
  <c r="M32" i="4"/>
  <c r="N32" i="4" s="1"/>
  <c r="O32" i="4" s="1"/>
  <c r="M21" i="4"/>
  <c r="M22" i="4"/>
  <c r="N22" i="4" s="1"/>
  <c r="O22" i="4" s="1"/>
  <c r="N29" i="4"/>
  <c r="O29" i="4" s="1"/>
  <c r="M31" i="4"/>
  <c r="K3" i="5"/>
  <c r="K4" i="5" s="1"/>
  <c r="J6" i="5" s="1"/>
  <c r="K6" i="5" s="1"/>
  <c r="K7" i="5" s="1"/>
  <c r="K4" i="1"/>
  <c r="L4" i="1" s="1"/>
  <c r="M4" i="1" s="1"/>
  <c r="BC3" i="3"/>
  <c r="AX3" i="3"/>
  <c r="AR3" i="3"/>
  <c r="AR4" i="3"/>
  <c r="AL3" i="3"/>
  <c r="AL4" i="3"/>
  <c r="AL5" i="3"/>
  <c r="AL6" i="3"/>
  <c r="K11" i="5" l="1"/>
  <c r="F21" i="4" s="1"/>
  <c r="F30" i="4" s="1"/>
  <c r="E21" i="4"/>
  <c r="E31" i="4" s="1"/>
  <c r="N31" i="4" s="1"/>
  <c r="O31" i="4" s="1"/>
  <c r="AD32" i="3"/>
  <c r="AD31" i="3"/>
  <c r="AD30" i="3"/>
  <c r="Q31" i="3"/>
  <c r="AD29" i="3"/>
  <c r="Q30" i="3"/>
  <c r="AD28" i="3"/>
  <c r="Q29" i="3"/>
  <c r="AD27" i="3"/>
  <c r="Q28" i="3"/>
  <c r="AD26" i="3"/>
  <c r="Q27" i="3"/>
  <c r="AD25" i="3"/>
  <c r="Q26" i="3"/>
  <c r="AD24" i="3"/>
  <c r="Q25" i="3"/>
  <c r="AD23" i="3"/>
  <c r="Q24" i="3"/>
  <c r="AD22" i="3"/>
  <c r="Q23" i="3"/>
  <c r="AD21" i="3"/>
  <c r="Q22" i="3"/>
  <c r="AD20" i="3"/>
  <c r="Q21" i="3"/>
  <c r="AD19" i="3"/>
  <c r="Q20" i="3"/>
  <c r="D20" i="3"/>
  <c r="AD18" i="3"/>
  <c r="Q19" i="3"/>
  <c r="AD17" i="3"/>
  <c r="Q18" i="3"/>
  <c r="AD16" i="3"/>
  <c r="Q17" i="3"/>
  <c r="AD15" i="3"/>
  <c r="Q16" i="3"/>
  <c r="AD14" i="3"/>
  <c r="Q15" i="3"/>
  <c r="AD13" i="3"/>
  <c r="Q14" i="3"/>
  <c r="AD12" i="3"/>
  <c r="Q13" i="3"/>
  <c r="AD11" i="3"/>
  <c r="Q12" i="3"/>
  <c r="AD10" i="3"/>
  <c r="Q11" i="3"/>
  <c r="AD9" i="3"/>
  <c r="Q10" i="3"/>
  <c r="AD8" i="3"/>
  <c r="Q9" i="3"/>
  <c r="AD7" i="3"/>
  <c r="Q8" i="3"/>
  <c r="AD6" i="3"/>
  <c r="Q7" i="3"/>
  <c r="AD5" i="3"/>
  <c r="Q6" i="3"/>
  <c r="AD4" i="3"/>
  <c r="Q5" i="3"/>
  <c r="AD3" i="3"/>
  <c r="Q4" i="3"/>
  <c r="E30" i="4" l="1"/>
  <c r="N30" i="4" s="1"/>
  <c r="O30" i="4" s="1"/>
  <c r="N21" i="4"/>
  <c r="O21" i="4" s="1"/>
  <c r="K3" i="1"/>
  <c r="L3" i="1" l="1"/>
  <c r="K5" i="1"/>
  <c r="K6" i="1" s="1"/>
  <c r="K7" i="1" s="1"/>
  <c r="M3" i="1" l="1"/>
  <c r="L5" i="1"/>
  <c r="L26" i="4" l="1"/>
  <c r="N26" i="4" s="1"/>
  <c r="O26" i="4" s="1"/>
  <c r="M5" i="1"/>
  <c r="L6" i="1"/>
  <c r="M6" i="1" l="1"/>
  <c r="L7" i="1"/>
  <c r="M7" i="1" s="1"/>
  <c r="O2" i="4"/>
  <c r="O6" i="4"/>
  <c r="O3" i="4" l="1"/>
  <c r="O4" i="4"/>
  <c r="O7" i="4"/>
  <c r="O9" i="4"/>
  <c r="O8" i="4"/>
</calcChain>
</file>

<file path=xl/connections.xml><?xml version="1.0" encoding="utf-8"?>
<connections xmlns="http://schemas.openxmlformats.org/spreadsheetml/2006/main">
  <connection id="1" sourceFile="H:\Public\JCA\Metalhom.accdb" keepAlive="1" name="Metalhom" type="5" refreshedVersion="4" background="1" saveData="1">
    <dbPr connection="Provider=Microsoft.ACE.OLEDB.12.0;User ID=Admin;Data Source=H:\Public\JCA\Metalhom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Taraudage" commandType="3"/>
  </connection>
  <connection id="2" sourceFile="H:\Public\JCA\Metalhom.accdb" keepAlive="1" name="Metalhom R_OutilUsinage_Percage" type="5" refreshedVersion="4" background="1" saveData="1">
    <dbPr connection="Provider=Microsoft.ACE.OLEDB.12.0;User ID=Admin;Data Source=H:\Public\JCA\Metalhom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Percage" commandType="3"/>
  </connection>
  <connection id="3" sourceFile="H:\Public\JCA\Metalhom.accdb" keepAlive="1" name="Metalhom1" type="5" refreshedVersion="4" background="1" saveData="1">
    <dbPr connection="Provider=Microsoft.ACE.OLEDB.12.0;User ID=Admin;Data Source=H:\Public\JCA\Metalhom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GrainFinition" commandType="3"/>
  </connection>
  <connection id="4" sourceFile="H:\Public\JCA\Metalhom.accdb" keepAlive="1" name="Metalhom2" type="5" refreshedVersion="4" background="1" saveData="1">
    <dbPr connection="Provider=Microsoft.ACE.OLEDB.12.0;User ID=Admin;Data Source=H:\Public\JCA\Metalhom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FraiseFinition" commandType="3"/>
  </connection>
  <connection id="5" sourceFile="H:\Public\JCA\Metalhom.accdb" keepAlive="1" name="Metalhom3" type="5" refreshedVersion="4" background="1" saveData="1">
    <dbPr connection="Provider=Microsoft.ACE.OLEDB.12.0;User ID=Admin;Data Source=H:\Public\JCA\Metalhom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FraiseEbauche" commandType="3"/>
  </connection>
  <connection id="6" sourceFile="H:\Public\JCA\Metalhom.accdb" keepAlive="1" name="Metalhom4" type="5" refreshedVersion="4" background="1" saveData="1">
    <dbPr connection="Provider=Microsoft.ACE.OLEDB.12.0;User ID=Admin;Data Source=H:\Public\JCA\Metalhom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Chanfreinage" commandType="3"/>
  </connection>
  <connection id="7" sourceFile="H:\Public\JCA\Metalhom.accdb" keepAlive="1" name="Metalhom5" type="5" refreshedVersion="4" background="1" saveData="1">
    <dbPr connection="Provider=Microsoft.ACE.OLEDB.12.0;User ID=Admin;Data Source=H:\Public\JCA\Metalhom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NuanceMatiere" commandType="3"/>
  </connection>
  <connection id="8" sourceFile="H:\Public\JCA\Metalhom.accdb" keepAlive="1" name="Metalhom6" type="5" refreshedVersion="4" background="1" saveData="1">
    <dbPr connection="Provider=Microsoft.ACE.OLEDB.12.0;User ID=Admin;Data Source=H:\Public\JCA\Metalhom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NuanceMatiereMere" commandType="3"/>
  </connection>
  <connection id="9" sourceFile="H:\Public\JCA\Metalhom.accdb" keepAlive="1" name="Metalhom7" type="5" refreshedVersion="4" background="1" saveData="1">
    <dbPr connection="Provider=Microsoft.ACE.OLEDB.12.0;User ID=Admin;Data Source=H:\Public\JCA\Metalhom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Surfacage" commandType="3"/>
  </connection>
</connections>
</file>

<file path=xl/sharedStrings.xml><?xml version="1.0" encoding="utf-8"?>
<sst xmlns="http://schemas.openxmlformats.org/spreadsheetml/2006/main" count="738" uniqueCount="325">
  <si>
    <t>Nuance ISO</t>
  </si>
  <si>
    <t>Matériaux à usiner</t>
  </si>
  <si>
    <t>Perçage</t>
  </si>
  <si>
    <t>Acier Rapide</t>
  </si>
  <si>
    <t>Acier Rapide Revêtu</t>
  </si>
  <si>
    <t>Carbure</t>
  </si>
  <si>
    <t>P</t>
  </si>
  <si>
    <t>Acier Non Allié</t>
  </si>
  <si>
    <t>Acier Faiblement Allié</t>
  </si>
  <si>
    <t>Acier Fortement Allié</t>
  </si>
  <si>
    <t>Acier Moulé Faiblement Allié</t>
  </si>
  <si>
    <t>M</t>
  </si>
  <si>
    <t>Acier inoxydable</t>
  </si>
  <si>
    <t>K</t>
  </si>
  <si>
    <t>Fonte lamellaire (EN-GJL…)</t>
  </si>
  <si>
    <t>Fonte Modulaire (EN-GJM…)</t>
  </si>
  <si>
    <t>Fonte Sphéroïdales (EN-GJS…)</t>
  </si>
  <si>
    <t>Alliages d'aluminium de faible dureté sans silicium (AW 2030 …)</t>
  </si>
  <si>
    <t>Alliages d'aluminium durs sans silicium ou %Si moyen (AW2017, AW 6060 …)</t>
  </si>
  <si>
    <t>Alliages d'aluminium à haute teneur en silicium  &gt; 12%</t>
  </si>
  <si>
    <t>Vitesse de coupe Vc en m/min</t>
  </si>
  <si>
    <t>Percage</t>
  </si>
  <si>
    <t>Taraudage</t>
  </si>
  <si>
    <t>Surfacage</t>
  </si>
  <si>
    <t>Contournage</t>
  </si>
  <si>
    <t>Alesage</t>
  </si>
  <si>
    <t>Chanfreinage</t>
  </si>
  <si>
    <t>Opérations</t>
  </si>
  <si>
    <t>Matiere</t>
  </si>
  <si>
    <t>01</t>
  </si>
  <si>
    <t>N</t>
  </si>
  <si>
    <t>S</t>
  </si>
  <si>
    <t>H</t>
  </si>
  <si>
    <t>S235</t>
  </si>
  <si>
    <t>S355</t>
  </si>
  <si>
    <t>P01</t>
  </si>
  <si>
    <t>P10</t>
  </si>
  <si>
    <t>Matieres</t>
  </si>
  <si>
    <t>Operations</t>
  </si>
  <si>
    <t>Designation</t>
  </si>
  <si>
    <t>Vc</t>
  </si>
  <si>
    <t>Nuance Iso</t>
  </si>
  <si>
    <t>Classe</t>
  </si>
  <si>
    <t>Type Outil</t>
  </si>
  <si>
    <t>TypeOutil</t>
  </si>
  <si>
    <t xml:space="preserve"> </t>
  </si>
  <si>
    <t>Acier Rapide Revetu</t>
  </si>
  <si>
    <t>Fz</t>
  </si>
  <si>
    <t>Z</t>
  </si>
  <si>
    <t>Epaisseur</t>
  </si>
  <si>
    <t>Temps</t>
  </si>
  <si>
    <t>Métrique</t>
  </si>
  <si>
    <t>Gaz</t>
  </si>
  <si>
    <t>1/8</t>
  </si>
  <si>
    <t>1/4</t>
  </si>
  <si>
    <t>3/8</t>
  </si>
  <si>
    <t>1/2</t>
  </si>
  <si>
    <t>3/4</t>
  </si>
  <si>
    <t>7/8</t>
  </si>
  <si>
    <t>1</t>
  </si>
  <si>
    <t>1 1/4</t>
  </si>
  <si>
    <t>1 1/2</t>
  </si>
  <si>
    <t>1 3/4</t>
  </si>
  <si>
    <t>2</t>
  </si>
  <si>
    <t>2 1/4</t>
  </si>
  <si>
    <t>2 1/2</t>
  </si>
  <si>
    <t>2 3/4</t>
  </si>
  <si>
    <t>3</t>
  </si>
  <si>
    <t>3 1/2</t>
  </si>
  <si>
    <t>4</t>
  </si>
  <si>
    <t>4 1/2</t>
  </si>
  <si>
    <t>5</t>
  </si>
  <si>
    <t>5 1/2</t>
  </si>
  <si>
    <t>6</t>
  </si>
  <si>
    <t>5/8</t>
  </si>
  <si>
    <t>Pas/avance</t>
  </si>
  <si>
    <t>Ø percage</t>
  </si>
  <si>
    <t>Ø</t>
  </si>
  <si>
    <t>vc</t>
  </si>
  <si>
    <t>Dents / z</t>
  </si>
  <si>
    <t>avance / fz</t>
  </si>
  <si>
    <t>profondeur passe</t>
  </si>
  <si>
    <t>Dents / Z</t>
  </si>
  <si>
    <t>-</t>
  </si>
  <si>
    <t>Vitesse de Coupe</t>
  </si>
  <si>
    <t>Avance</t>
  </si>
  <si>
    <t>Nbre de Dents</t>
  </si>
  <si>
    <t>Nuance</t>
  </si>
  <si>
    <t>Colonne1</t>
  </si>
  <si>
    <t>Pas</t>
  </si>
  <si>
    <t>Ø Percage2</t>
  </si>
  <si>
    <t>Temps Usinage</t>
  </si>
  <si>
    <t>Temps Chgt Outil</t>
  </si>
  <si>
    <t>Temps
sec</t>
  </si>
  <si>
    <t>Poids (Kg)</t>
  </si>
  <si>
    <t>Temps (Sec)</t>
  </si>
  <si>
    <t>Longueur</t>
  </si>
  <si>
    <t>Temps(Min,Dix)</t>
  </si>
  <si>
    <t>Cadence (p/h)</t>
  </si>
  <si>
    <t>Placer</t>
  </si>
  <si>
    <t>Mesurer</t>
  </si>
  <si>
    <t>Seq.
Suivante</t>
  </si>
  <si>
    <t>Tech
 (sec)</t>
  </si>
  <si>
    <t>Coef</t>
  </si>
  <si>
    <t>Séquences</t>
  </si>
  <si>
    <t>D</t>
  </si>
  <si>
    <t>B</t>
  </si>
  <si>
    <t>G</t>
  </si>
  <si>
    <t>T</t>
  </si>
  <si>
    <t>Q</t>
  </si>
  <si>
    <t>TMU</t>
  </si>
  <si>
    <t>Secondes</t>
  </si>
  <si>
    <t>Mettre pièce en butée</t>
  </si>
  <si>
    <t>Attente Délai technique</t>
  </si>
  <si>
    <t>Poser pièce dans/sur contenant</t>
  </si>
  <si>
    <t>Poser pièce sur marbre</t>
  </si>
  <si>
    <t>Temps de manutention</t>
  </si>
  <si>
    <t>Lg</t>
  </si>
  <si>
    <t>Poids</t>
  </si>
  <si>
    <t xml:space="preserve">Longueur mm </t>
  </si>
  <si>
    <t>Poids en kg</t>
  </si>
  <si>
    <t>Recherche de la plage</t>
  </si>
  <si>
    <t>Recherche colonne/ligne</t>
  </si>
  <si>
    <t>Grab</t>
  </si>
  <si>
    <t>Distance</t>
  </si>
  <si>
    <t>Usinage</t>
  </si>
  <si>
    <t>Nombre pièce/Posage</t>
  </si>
  <si>
    <t>Prendre pièce dans appros et poser sur posage</t>
  </si>
  <si>
    <t>Brider la pièce</t>
  </si>
  <si>
    <t>Prendre</t>
  </si>
  <si>
    <t>Fermer la porte</t>
  </si>
  <si>
    <t>Démarrer cycle</t>
  </si>
  <si>
    <t>Ouvrir la porte</t>
  </si>
  <si>
    <t>Débrider la piece</t>
  </si>
  <si>
    <t>Souffler copeaux et huile</t>
  </si>
  <si>
    <t>Ebavurer</t>
  </si>
  <si>
    <t>Nombre d'Ebav Copal-Fraise / pièce</t>
  </si>
  <si>
    <t>Temps Cycle</t>
  </si>
  <si>
    <t>Temps Pendulaire</t>
  </si>
  <si>
    <t>Char/Dechar</t>
  </si>
  <si>
    <t>/Ebav</t>
  </si>
  <si>
    <t>Profondeur
Longueur</t>
  </si>
  <si>
    <t>Nbre Passe
Qté</t>
  </si>
  <si>
    <t>Nombre de brides</t>
  </si>
  <si>
    <t>Reference</t>
  </si>
  <si>
    <t>Pendulaire</t>
  </si>
  <si>
    <t>Description</t>
  </si>
  <si>
    <t>Nbre Dent</t>
  </si>
  <si>
    <t>Vitesse Coupe</t>
  </si>
  <si>
    <t>Profondeur Passe</t>
  </si>
  <si>
    <t>Type</t>
  </si>
  <si>
    <t>A</t>
  </si>
  <si>
    <t xml:space="preserve"> Pièce Unitaire</t>
  </si>
  <si>
    <t>Montage complet</t>
  </si>
  <si>
    <t>Pièce/Montage</t>
  </si>
  <si>
    <t>Temps Total (seconde)</t>
  </si>
  <si>
    <t>Temps Total (minute,dix)</t>
  </si>
  <si>
    <t>Temps Total (mm:ss)</t>
  </si>
  <si>
    <t>Piece/Montage</t>
  </si>
  <si>
    <t>Grain Finition</t>
  </si>
  <si>
    <t>Fraise Finition</t>
  </si>
  <si>
    <t>Fraise Ebauche</t>
  </si>
  <si>
    <t>Nuance Matière</t>
  </si>
  <si>
    <t>Limite Durete</t>
  </si>
  <si>
    <t>Rotation 
Tr/min</t>
  </si>
  <si>
    <t>Vitesse d'avance 
mm/min</t>
  </si>
  <si>
    <t>Diametre</t>
  </si>
  <si>
    <t>Dent</t>
  </si>
  <si>
    <t>VitesseCoupe</t>
  </si>
  <si>
    <t>Passe</t>
  </si>
  <si>
    <t>Nom</t>
  </si>
  <si>
    <t>ApteSurfacage</t>
  </si>
  <si>
    <t>Ø40</t>
  </si>
  <si>
    <t>Fraise ADTK</t>
  </si>
  <si>
    <t>Ø50</t>
  </si>
  <si>
    <t>Ø52</t>
  </si>
  <si>
    <t>Fraise Rapid</t>
  </si>
  <si>
    <t>Ø63</t>
  </si>
  <si>
    <t>Ø80</t>
  </si>
  <si>
    <t>Ø125</t>
  </si>
  <si>
    <t>Fraise à Surfacer</t>
  </si>
  <si>
    <t>Densite</t>
  </si>
  <si>
    <t>Durete</t>
  </si>
  <si>
    <t>ClasseMatiere</t>
  </si>
  <si>
    <t>HB250</t>
  </si>
  <si>
    <t>Acier</t>
  </si>
  <si>
    <t>HB320</t>
  </si>
  <si>
    <t>HB400</t>
  </si>
  <si>
    <t>HB500</t>
  </si>
  <si>
    <t>S355JW</t>
  </si>
  <si>
    <t>NuanceMere</t>
  </si>
  <si>
    <t>NuanceFille</t>
  </si>
  <si>
    <t>RST37-2</t>
  </si>
  <si>
    <t>S235J0</t>
  </si>
  <si>
    <t>S235J0+N</t>
  </si>
  <si>
    <t>S235J2</t>
  </si>
  <si>
    <t>S235J2+N</t>
  </si>
  <si>
    <t>S235JR</t>
  </si>
  <si>
    <t>S235JR+AR</t>
  </si>
  <si>
    <t>S235JR+N</t>
  </si>
  <si>
    <t>S235JR-DKP</t>
  </si>
  <si>
    <t>S235JRG2</t>
  </si>
  <si>
    <t>S235JRG2-DKP</t>
  </si>
  <si>
    <t>1E0170</t>
  </si>
  <si>
    <t>1E1259</t>
  </si>
  <si>
    <t>1E1863</t>
  </si>
  <si>
    <t>1E860</t>
  </si>
  <si>
    <t>1E860-Z35</t>
  </si>
  <si>
    <t>LH380</t>
  </si>
  <si>
    <t>LH380-Z35</t>
  </si>
  <si>
    <t>MS309</t>
  </si>
  <si>
    <t>S355J0</t>
  </si>
  <si>
    <t>S355J0+M</t>
  </si>
  <si>
    <t>S355J0+N</t>
  </si>
  <si>
    <t>S355J0+TAB</t>
  </si>
  <si>
    <t>S355J0-Z15</t>
  </si>
  <si>
    <t>S355J0-Z25</t>
  </si>
  <si>
    <t>S355j2</t>
  </si>
  <si>
    <t>S355J2+AR</t>
  </si>
  <si>
    <t>S355J2+N</t>
  </si>
  <si>
    <t>S355J2+N-DKP</t>
  </si>
  <si>
    <t>S355J2+N-Z15</t>
  </si>
  <si>
    <t>S355J2+N-Z25</t>
  </si>
  <si>
    <t>S355J2+N-Z35</t>
  </si>
  <si>
    <t>S355J2C+N</t>
  </si>
  <si>
    <t>S355J2G4</t>
  </si>
  <si>
    <t>S355J2H</t>
  </si>
  <si>
    <t>S355J2H+N</t>
  </si>
  <si>
    <t>S355K2</t>
  </si>
  <si>
    <t>S355K2+N</t>
  </si>
  <si>
    <t>S355M</t>
  </si>
  <si>
    <t>S355MC</t>
  </si>
  <si>
    <t>S355NH</t>
  </si>
  <si>
    <t>S355NHL</t>
  </si>
  <si>
    <t>S355NL</t>
  </si>
  <si>
    <t>X60</t>
  </si>
  <si>
    <t>X65</t>
  </si>
  <si>
    <t>S355J0W</t>
  </si>
  <si>
    <t>S355J0W+N</t>
  </si>
  <si>
    <t>S355J0W+N+Z15</t>
  </si>
  <si>
    <t>S355J0WP</t>
  </si>
  <si>
    <t>S355J2G2W</t>
  </si>
  <si>
    <t>S355J2WP</t>
  </si>
  <si>
    <t>APlaquette</t>
  </si>
  <si>
    <t>Ø37 à 45°</t>
  </si>
  <si>
    <t>Fraise à Chanfreiner</t>
  </si>
  <si>
    <t>Ø50 à 50°</t>
  </si>
  <si>
    <t>Ø53 à 45°</t>
  </si>
  <si>
    <t>Ø60 à 30°</t>
  </si>
  <si>
    <t>Ø70 à 45°</t>
  </si>
  <si>
    <t>Ø80 à 60°</t>
  </si>
  <si>
    <t>ApteEbauche</t>
  </si>
  <si>
    <t>Ø16</t>
  </si>
  <si>
    <t>Ø20</t>
  </si>
  <si>
    <t>Ø25</t>
  </si>
  <si>
    <t>Fraise d'ébauche</t>
  </si>
  <si>
    <t>Ø32</t>
  </si>
  <si>
    <t>Fraise de finition</t>
  </si>
  <si>
    <t>Ø18</t>
  </si>
  <si>
    <t>idx</t>
  </si>
  <si>
    <t>mini</t>
  </si>
  <si>
    <t>maxi</t>
  </si>
  <si>
    <t>39-&gt;51</t>
  </si>
  <si>
    <t>50-&gt;65</t>
  </si>
  <si>
    <t>64-&gt;86</t>
  </si>
  <si>
    <t>85-&gt;115</t>
  </si>
  <si>
    <t>114-&gt;144</t>
  </si>
  <si>
    <t>9.75-&gt;164</t>
  </si>
  <si>
    <t>Taraud</t>
  </si>
  <si>
    <t>M4</t>
  </si>
  <si>
    <t>M5</t>
  </si>
  <si>
    <t>M6</t>
  </si>
  <si>
    <t>M8</t>
  </si>
  <si>
    <t>M10</t>
  </si>
  <si>
    <t>M12</t>
  </si>
  <si>
    <t>M14</t>
  </si>
  <si>
    <t>M16</t>
  </si>
  <si>
    <t>M20</t>
  </si>
  <si>
    <t>M27</t>
  </si>
  <si>
    <t>Ø3</t>
  </si>
  <si>
    <t>Foret</t>
  </si>
  <si>
    <t>Ø4.2</t>
  </si>
  <si>
    <t>Ø5</t>
  </si>
  <si>
    <t>Ø6</t>
  </si>
  <si>
    <t>Ø6,5</t>
  </si>
  <si>
    <t>Ø6,8</t>
  </si>
  <si>
    <t>Ø7</t>
  </si>
  <si>
    <t>Ø8</t>
  </si>
  <si>
    <t>Ø8,5</t>
  </si>
  <si>
    <t>Ø8,8</t>
  </si>
  <si>
    <t>Ø9</t>
  </si>
  <si>
    <t>Ø9,5</t>
  </si>
  <si>
    <t>Ø10</t>
  </si>
  <si>
    <t>Ø10,3</t>
  </si>
  <si>
    <t>Ø10,5</t>
  </si>
  <si>
    <t>Ø11</t>
  </si>
  <si>
    <t>Ø12</t>
  </si>
  <si>
    <t>Ø12,2</t>
  </si>
  <si>
    <t>Ø12,5</t>
  </si>
  <si>
    <t>Ø13</t>
  </si>
  <si>
    <t>Ø14</t>
  </si>
  <si>
    <t>Ø14,5</t>
  </si>
  <si>
    <t>Ø14.5</t>
  </si>
  <si>
    <t>Foret Plaquette</t>
  </si>
  <si>
    <t>Ø15</t>
  </si>
  <si>
    <t>Ø16,5</t>
  </si>
  <si>
    <t>Ø17</t>
  </si>
  <si>
    <t>Ø17,5</t>
  </si>
  <si>
    <t>Ø19</t>
  </si>
  <si>
    <t>Ø20,5</t>
  </si>
  <si>
    <t>Ø21</t>
  </si>
  <si>
    <t>Ø22</t>
  </si>
  <si>
    <t>Ø23</t>
  </si>
  <si>
    <t>Ø24</t>
  </si>
  <si>
    <t>Ø24,5</t>
  </si>
  <si>
    <t>Ø26</t>
  </si>
  <si>
    <t>Ø26,5</t>
  </si>
  <si>
    <t>Ø29,5</t>
  </si>
  <si>
    <t>Ø30</t>
  </si>
  <si>
    <t>Ø35</t>
  </si>
  <si>
    <t>Ø38</t>
  </si>
  <si>
    <t>Ø42</t>
  </si>
  <si>
    <t>x</t>
  </si>
  <si>
    <t>Grain F. 9.75-&gt;164</t>
  </si>
  <si>
    <t>Rep6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</si>
</sst>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00000"/>
    <numFmt numFmtId="165" formatCode="0.0"/>
    <numFmt numFmtId="166" formatCode="[$-F400]h:mm:ss\ AM/PM"/>
    <numFmt numFmtId="167" formatCode="[h]:mm"/>
    <numFmt numFmtId="168" formatCode="\Ø#.00"/>
    <numFmt numFmtId="169" formatCode="#\ ##0.00"/>
  </numFmts>
  <fonts count="19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11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2DDDC"/>
        <bgColor indexed="64"/>
      </patternFill>
    </fill>
    <fill>
      <patternFill patternType="solid">
        <fgColor rgb="FFC5BE97"/>
        <bgColor indexed="64"/>
      </patternFill>
    </fill>
    <fill>
      <patternFill patternType="solid">
        <fgColor rgb="FFD7E4BC"/>
        <bgColor indexed="64"/>
      </patternFill>
    </fill>
    <fill>
      <patternFill patternType="solid">
        <fgColor rgb="FF538ED5"/>
        <bgColor indexed="64"/>
      </patternFill>
    </fill>
    <fill>
      <patternFill patternType="solid">
        <fgColor rgb="FFDBE5F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D5B4"/>
        <bgColor indexed="64"/>
      </patternFill>
    </fill>
    <fill>
      <patternFill patternType="solid">
        <fgColor rgb="FFEAF1DD"/>
        <bgColor indexed="64"/>
      </patternFill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9"/>
      </patternFill>
    </fill>
    <fill>
      <patternFill patternType="solid">
        <fgColor indexed="22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indexed="40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000000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/>
      <bottom style="thick">
        <color theme="4" tint="0.499984740745262"/>
      </bottom>
      <diagonal/>
    </border>
  </borders>
  <cellStyleXfs count="8">
    <xf numFmtId="0" fontId="0" fillId="0" borderId="0"/>
    <xf numFmtId="0" fontId="4" fillId="0" borderId="0" applyNumberFormat="0" applyFill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16" fillId="0" borderId="43" applyNumberFormat="0" applyFill="0" applyAlignment="0" applyProtection="0"/>
    <xf numFmtId="9" fontId="18" fillId="0" borderId="0" applyFont="0" applyFill="0" applyBorder="0" applyAlignment="0" applyProtection="0"/>
  </cellStyleXfs>
  <cellXfs count="142">
    <xf numFmtId="0" fontId="0" fillId="0" borderId="0" xfId="0"/>
    <xf numFmtId="0" fontId="2" fillId="2" borderId="3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5" borderId="7" xfId="0" applyFont="1" applyFill="1" applyBorder="1" applyAlignment="1">
      <alignment horizontal="center" vertical="center" wrapText="1"/>
    </xf>
    <xf numFmtId="0" fontId="3" fillId="4" borderId="8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8" borderId="10" xfId="0" applyFont="1" applyFill="1" applyBorder="1" applyAlignment="1">
      <alignment horizontal="center" vertical="center"/>
    </xf>
    <xf numFmtId="0" fontId="2" fillId="9" borderId="11" xfId="0" applyFont="1" applyFill="1" applyBorder="1" applyAlignment="1">
      <alignment horizontal="center" vertical="center" wrapText="1"/>
    </xf>
    <xf numFmtId="0" fontId="2" fillId="4" borderId="10" xfId="0" applyFont="1" applyFill="1" applyBorder="1" applyAlignment="1">
      <alignment horizontal="center" vertical="center"/>
    </xf>
    <xf numFmtId="0" fontId="2" fillId="11" borderId="6" xfId="0" applyFont="1" applyFill="1" applyBorder="1" applyAlignment="1">
      <alignment horizontal="center" vertical="center" wrapText="1"/>
    </xf>
    <xf numFmtId="0" fontId="2" fillId="12" borderId="6" xfId="0" applyFont="1" applyFill="1" applyBorder="1" applyAlignment="1">
      <alignment horizontal="center" vertical="center" wrapText="1"/>
    </xf>
    <xf numFmtId="0" fontId="1" fillId="0" borderId="0" xfId="0" applyFo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/>
    <xf numFmtId="1" fontId="9" fillId="14" borderId="21" xfId="3" applyNumberFormat="1" applyFont="1" applyBorder="1" applyProtection="1"/>
    <xf numFmtId="0" fontId="0" fillId="0" borderId="0" xfId="0"/>
    <xf numFmtId="165" fontId="8" fillId="15" borderId="0" xfId="4" applyNumberFormat="1" applyFont="1" applyAlignment="1" applyProtection="1"/>
    <xf numFmtId="0" fontId="7" fillId="0" borderId="0" xfId="0" applyFont="1" applyProtection="1"/>
    <xf numFmtId="0" fontId="9" fillId="13" borderId="0" xfId="2" applyFont="1" applyProtection="1"/>
    <xf numFmtId="0" fontId="10" fillId="0" borderId="0" xfId="0" applyFont="1" applyProtection="1"/>
    <xf numFmtId="0" fontId="8" fillId="16" borderId="0" xfId="5" applyFont="1" applyProtection="1"/>
    <xf numFmtId="0" fontId="10" fillId="0" borderId="0" xfId="0" applyFont="1"/>
    <xf numFmtId="0" fontId="10" fillId="0" borderId="0" xfId="0" applyFont="1" applyAlignment="1" applyProtection="1">
      <alignment horizontal="left"/>
    </xf>
    <xf numFmtId="0" fontId="9" fillId="13" borderId="0" xfId="2" applyFont="1" applyAlignment="1" applyProtection="1">
      <alignment wrapText="1"/>
    </xf>
    <xf numFmtId="0" fontId="9" fillId="14" borderId="21" xfId="3" applyFont="1" applyBorder="1" applyProtection="1"/>
    <xf numFmtId="0" fontId="9" fillId="14" borderId="18" xfId="3" applyFont="1" applyBorder="1" applyProtection="1"/>
    <xf numFmtId="2" fontId="8" fillId="15" borderId="0" xfId="4" applyNumberFormat="1" applyFont="1" applyAlignment="1" applyProtection="1"/>
    <xf numFmtId="2" fontId="12" fillId="17" borderId="0" xfId="0" applyNumberFormat="1" applyFont="1" applyFill="1" applyBorder="1" applyAlignment="1">
      <alignment horizontal="center"/>
    </xf>
    <xf numFmtId="0" fontId="13" fillId="18" borderId="27" xfId="0" applyFont="1" applyFill="1" applyBorder="1" applyAlignment="1">
      <alignment horizontal="right"/>
    </xf>
    <xf numFmtId="0" fontId="12" fillId="19" borderId="28" xfId="0" applyFont="1" applyFill="1" applyBorder="1" applyAlignment="1">
      <alignment horizontal="left"/>
    </xf>
    <xf numFmtId="2" fontId="12" fillId="19" borderId="25" xfId="0" applyNumberFormat="1" applyFont="1" applyFill="1" applyBorder="1" applyAlignment="1">
      <alignment horizontal="center"/>
    </xf>
    <xf numFmtId="0" fontId="12" fillId="17" borderId="24" xfId="0" applyFont="1" applyFill="1" applyBorder="1" applyAlignment="1">
      <alignment horizontal="center" vertical="center"/>
    </xf>
    <xf numFmtId="0" fontId="12" fillId="17" borderId="21" xfId="0" applyFont="1" applyFill="1" applyBorder="1" applyAlignment="1">
      <alignment horizontal="center" vertical="center"/>
    </xf>
    <xf numFmtId="165" fontId="12" fillId="19" borderId="25" xfId="0" applyNumberFormat="1" applyFont="1" applyFill="1" applyBorder="1" applyAlignment="1">
      <alignment horizontal="center"/>
    </xf>
    <xf numFmtId="0" fontId="12" fillId="19" borderId="25" xfId="0" applyNumberFormat="1" applyFont="1" applyFill="1" applyBorder="1" applyAlignment="1">
      <alignment horizontal="center"/>
    </xf>
    <xf numFmtId="2" fontId="12" fillId="17" borderId="20" xfId="0" applyNumberFormat="1" applyFont="1" applyFill="1" applyBorder="1" applyAlignment="1">
      <alignment horizontal="center"/>
    </xf>
    <xf numFmtId="2" fontId="12" fillId="17" borderId="22" xfId="0" applyNumberFormat="1" applyFont="1" applyFill="1" applyBorder="1" applyAlignment="1">
      <alignment horizontal="center"/>
    </xf>
    <xf numFmtId="2" fontId="12" fillId="17" borderId="21" xfId="0" applyNumberFormat="1" applyFont="1" applyFill="1" applyBorder="1" applyAlignment="1">
      <alignment horizontal="center"/>
    </xf>
    <xf numFmtId="2" fontId="12" fillId="17" borderId="24" xfId="0" applyNumberFormat="1" applyFont="1" applyFill="1" applyBorder="1" applyAlignment="1">
      <alignment horizontal="center"/>
    </xf>
    <xf numFmtId="2" fontId="12" fillId="19" borderId="26" xfId="0" applyNumberFormat="1" applyFont="1" applyFill="1" applyBorder="1" applyAlignment="1">
      <alignment horizontal="center"/>
    </xf>
    <xf numFmtId="0" fontId="8" fillId="13" borderId="29" xfId="2" applyFont="1" applyBorder="1" applyProtection="1"/>
    <xf numFmtId="2" fontId="9" fillId="14" borderId="21" xfId="3" applyNumberFormat="1" applyFont="1" applyBorder="1" applyProtection="1"/>
    <xf numFmtId="0" fontId="7" fillId="0" borderId="30" xfId="0" applyFont="1" applyBorder="1" applyProtection="1"/>
    <xf numFmtId="0" fontId="11" fillId="13" borderId="32" xfId="2" applyFont="1" applyBorder="1" applyAlignment="1" applyProtection="1">
      <alignment vertical="center" wrapText="1"/>
    </xf>
    <xf numFmtId="0" fontId="11" fillId="13" borderId="32" xfId="2" applyFont="1" applyBorder="1" applyAlignment="1" applyProtection="1">
      <alignment vertical="center"/>
    </xf>
    <xf numFmtId="0" fontId="8" fillId="13" borderId="15" xfId="2" applyFont="1" applyBorder="1" applyProtection="1"/>
    <xf numFmtId="0" fontId="8" fillId="13" borderId="16" xfId="2" applyFont="1" applyBorder="1" applyProtection="1"/>
    <xf numFmtId="2" fontId="9" fillId="14" borderId="35" xfId="3" applyNumberFormat="1" applyFont="1" applyBorder="1" applyProtection="1"/>
    <xf numFmtId="2" fontId="9" fillId="14" borderId="18" xfId="3" applyNumberFormat="1" applyFont="1" applyBorder="1" applyProtection="1"/>
    <xf numFmtId="2" fontId="9" fillId="14" borderId="19" xfId="3" applyNumberFormat="1" applyFont="1" applyBorder="1" applyProtection="1"/>
    <xf numFmtId="0" fontId="11" fillId="13" borderId="36" xfId="2" applyFont="1" applyBorder="1" applyProtection="1"/>
    <xf numFmtId="0" fontId="8" fillId="13" borderId="37" xfId="2" applyFont="1" applyBorder="1" applyProtection="1"/>
    <xf numFmtId="0" fontId="8" fillId="13" borderId="14" xfId="2" applyFont="1" applyBorder="1" applyProtection="1"/>
    <xf numFmtId="0" fontId="9" fillId="14" borderId="34" xfId="3" applyFont="1" applyBorder="1" applyProtection="1"/>
    <xf numFmtId="0" fontId="9" fillId="14" borderId="17" xfId="3" applyFont="1" applyBorder="1" applyProtection="1"/>
    <xf numFmtId="0" fontId="9" fillId="13" borderId="0" xfId="2" applyFont="1" applyAlignment="1" applyProtection="1"/>
    <xf numFmtId="0" fontId="9" fillId="13" borderId="18" xfId="2" applyFont="1" applyBorder="1"/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20" fontId="0" fillId="0" borderId="0" xfId="0" applyNumberFormat="1" applyProtection="1">
      <protection locked="0"/>
    </xf>
    <xf numFmtId="0" fontId="0" fillId="0" borderId="0" xfId="0" applyNumberFormat="1" applyProtection="1">
      <protection locked="0"/>
    </xf>
    <xf numFmtId="166" fontId="0" fillId="0" borderId="0" xfId="0" applyNumberFormat="1" applyProtection="1">
      <protection locked="0"/>
    </xf>
    <xf numFmtId="0" fontId="9" fillId="13" borderId="0" xfId="2" applyFont="1" applyAlignment="1" applyProtection="1">
      <alignment horizontal="right"/>
    </xf>
    <xf numFmtId="0" fontId="17" fillId="0" borderId="43" xfId="6" applyFont="1"/>
    <xf numFmtId="167" fontId="8" fillId="15" borderId="0" xfId="4" applyNumberFormat="1" applyFont="1" applyAlignment="1" applyProtection="1"/>
    <xf numFmtId="2" fontId="0" fillId="0" borderId="0" xfId="0" applyNumberFormat="1"/>
    <xf numFmtId="2" fontId="9" fillId="13" borderId="0" xfId="2" applyNumberFormat="1" applyFont="1" applyAlignment="1" applyProtection="1"/>
    <xf numFmtId="2" fontId="9" fillId="13" borderId="18" xfId="2" applyNumberFormat="1" applyFont="1" applyBorder="1"/>
    <xf numFmtId="0" fontId="0" fillId="0" borderId="0" xfId="0" applyAlignment="1">
      <alignment horizontal="center"/>
    </xf>
    <xf numFmtId="0" fontId="9" fillId="13" borderId="0" xfId="2" applyFont="1" applyAlignment="1" applyProtection="1">
      <alignment horizontal="left"/>
    </xf>
    <xf numFmtId="0" fontId="0" fillId="0" borderId="0" xfId="0" applyAlignment="1">
      <alignment horizontal="center"/>
    </xf>
    <xf numFmtId="0" fontId="9" fillId="13" borderId="15" xfId="2" applyFont="1" applyBorder="1" applyAlignment="1">
      <alignment vertical="top"/>
    </xf>
    <xf numFmtId="2" fontId="9" fillId="13" borderId="15" xfId="2" applyNumberFormat="1" applyFont="1" applyBorder="1" applyAlignment="1">
      <alignment vertical="top"/>
    </xf>
    <xf numFmtId="0" fontId="9" fillId="13" borderId="15" xfId="2" applyFont="1" applyBorder="1" applyAlignment="1">
      <alignment vertical="top" wrapText="1"/>
    </xf>
    <xf numFmtId="0" fontId="0" fillId="0" borderId="0" xfId="0" applyProtection="1"/>
    <xf numFmtId="2" fontId="0" fillId="0" borderId="0" xfId="0" applyNumberFormat="1" applyProtection="1"/>
    <xf numFmtId="0" fontId="6" fillId="0" borderId="0" xfId="0" applyFont="1" applyProtection="1"/>
    <xf numFmtId="46" fontId="0" fillId="0" borderId="0" xfId="0" applyNumberFormat="1" applyProtection="1"/>
    <xf numFmtId="9" fontId="0" fillId="0" borderId="0" xfId="7" applyFont="1" applyProtection="1">
      <protection locked="0"/>
    </xf>
    <xf numFmtId="2" fontId="5" fillId="0" borderId="0" xfId="0" applyNumberFormat="1" applyFont="1" applyProtection="1">
      <protection hidden="1"/>
    </xf>
    <xf numFmtId="49" fontId="14" fillId="0" borderId="26" xfId="1" applyNumberFormat="1" applyFont="1" applyBorder="1" applyAlignment="1" applyProtection="1">
      <alignment horizontal="right"/>
      <protection locked="0"/>
    </xf>
    <xf numFmtId="0" fontId="14" fillId="0" borderId="42" xfId="1" applyFont="1" applyBorder="1" applyAlignment="1" applyProtection="1">
      <alignment horizontal="right"/>
      <protection locked="0"/>
    </xf>
    <xf numFmtId="0" fontId="14" fillId="0" borderId="26" xfId="1" applyFont="1" applyBorder="1" applyAlignment="1" applyProtection="1">
      <alignment horizontal="right"/>
      <protection locked="0"/>
    </xf>
    <xf numFmtId="0" fontId="5" fillId="0" borderId="0" xfId="0" applyFont="1"/>
    <xf numFmtId="0" fontId="9" fillId="14" borderId="18" xfId="3" applyFont="1" applyBorder="1" applyAlignment="1" applyProtection="1">
      <alignment horizontal="center"/>
    </xf>
    <xf numFmtId="0" fontId="10" fillId="0" borderId="0" xfId="0" applyFont="1" applyAlignment="1">
      <alignment horizontal="center"/>
    </xf>
    <xf numFmtId="49" fontId="14" fillId="0" borderId="1" xfId="1" applyNumberFormat="1" applyFont="1" applyBorder="1" applyAlignment="1" applyProtection="1">
      <alignment horizontal="center"/>
      <protection locked="0"/>
    </xf>
    <xf numFmtId="49" fontId="14" fillId="0" borderId="10" xfId="1" applyNumberFormat="1" applyFont="1" applyBorder="1" applyAlignment="1" applyProtection="1">
      <alignment horizontal="center"/>
      <protection locked="0"/>
    </xf>
    <xf numFmtId="0" fontId="11" fillId="13" borderId="32" xfId="2" applyFont="1" applyBorder="1" applyAlignment="1" applyProtection="1">
      <alignment horizontal="center" vertical="center"/>
    </xf>
    <xf numFmtId="0" fontId="11" fillId="13" borderId="33" xfId="2" applyFont="1" applyBorder="1" applyAlignment="1" applyProtection="1">
      <alignment horizontal="center" vertical="center"/>
    </xf>
    <xf numFmtId="0" fontId="8" fillId="13" borderId="15" xfId="2" applyFont="1" applyBorder="1" applyAlignment="1" applyProtection="1">
      <alignment horizontal="center"/>
    </xf>
    <xf numFmtId="0" fontId="9" fillId="14" borderId="21" xfId="3" applyFont="1" applyBorder="1" applyAlignment="1" applyProtection="1">
      <alignment horizontal="center"/>
    </xf>
    <xf numFmtId="0" fontId="9" fillId="13" borderId="0" xfId="2" applyFont="1" applyAlignment="1" applyProtection="1">
      <alignment horizontal="center"/>
    </xf>
    <xf numFmtId="0" fontId="14" fillId="0" borderId="37" xfId="1" applyFont="1" applyBorder="1" applyAlignment="1" applyProtection="1">
      <alignment horizontal="left"/>
      <protection locked="0"/>
    </xf>
    <xf numFmtId="0" fontId="14" fillId="0" borderId="40" xfId="1" applyFont="1" applyBorder="1" applyAlignment="1" applyProtection="1">
      <alignment horizontal="left"/>
      <protection locked="0"/>
    </xf>
    <xf numFmtId="0" fontId="14" fillId="0" borderId="41" xfId="1" applyFont="1" applyBorder="1" applyAlignment="1" applyProtection="1">
      <alignment horizontal="left"/>
      <protection locked="0"/>
    </xf>
    <xf numFmtId="0" fontId="14" fillId="0" borderId="36" xfId="1" applyFont="1" applyBorder="1" applyAlignment="1" applyProtection="1">
      <alignment horizontal="left"/>
      <protection locked="0"/>
    </xf>
    <xf numFmtId="0" fontId="14" fillId="0" borderId="38" xfId="1" applyFont="1" applyBorder="1" applyAlignment="1" applyProtection="1">
      <alignment horizontal="left"/>
      <protection locked="0"/>
    </xf>
    <xf numFmtId="0" fontId="14" fillId="0" borderId="39" xfId="1" applyFont="1" applyBorder="1" applyAlignment="1" applyProtection="1">
      <alignment horizontal="left"/>
      <protection locked="0"/>
    </xf>
    <xf numFmtId="0" fontId="8" fillId="13" borderId="0" xfId="2" applyFont="1" applyAlignment="1">
      <alignment horizontal="left"/>
    </xf>
    <xf numFmtId="0" fontId="11" fillId="13" borderId="31" xfId="2" applyFont="1" applyBorder="1" applyAlignment="1" applyProtection="1">
      <alignment horizontal="center" vertical="center"/>
    </xf>
    <xf numFmtId="0" fontId="9" fillId="13" borderId="16" xfId="2" applyFont="1" applyBorder="1" applyAlignment="1">
      <alignment horizontal="center" vertical="top" wrapText="1"/>
    </xf>
    <xf numFmtId="0" fontId="9" fillId="13" borderId="19" xfId="2" applyFont="1" applyBorder="1" applyAlignment="1">
      <alignment horizontal="center" vertical="top"/>
    </xf>
    <xf numFmtId="0" fontId="9" fillId="13" borderId="14" xfId="2" applyFont="1" applyBorder="1" applyAlignment="1">
      <alignment horizontal="center" vertical="top"/>
    </xf>
    <xf numFmtId="0" fontId="9" fillId="13" borderId="17" xfId="2" applyFont="1" applyBorder="1" applyAlignment="1">
      <alignment horizontal="center" vertical="top"/>
    </xf>
    <xf numFmtId="0" fontId="9" fillId="13" borderId="15" xfId="2" applyFont="1" applyBorder="1" applyAlignment="1">
      <alignment horizontal="center" vertical="top"/>
    </xf>
    <xf numFmtId="0" fontId="9" fillId="13" borderId="18" xfId="2" applyFont="1" applyBorder="1" applyAlignment="1">
      <alignment horizontal="center" vertical="top"/>
    </xf>
    <xf numFmtId="0" fontId="9" fillId="13" borderId="15" xfId="2" applyFont="1" applyBorder="1" applyAlignment="1">
      <alignment horizontal="center" vertical="top" wrapText="1"/>
    </xf>
    <xf numFmtId="0" fontId="0" fillId="0" borderId="0" xfId="0" applyAlignment="1">
      <alignment horizontal="center"/>
    </xf>
    <xf numFmtId="0" fontId="0" fillId="0" borderId="11" xfId="0" applyBorder="1" applyAlignment="1">
      <alignment horizontal="center"/>
    </xf>
    <xf numFmtId="0" fontId="2" fillId="2" borderId="12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3" fillId="3" borderId="12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2" fillId="6" borderId="13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8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5" borderId="13" xfId="0" applyFont="1" applyFill="1" applyBorder="1" applyAlignment="1">
      <alignment horizontal="center" vertical="center"/>
    </xf>
    <xf numFmtId="0" fontId="2" fillId="5" borderId="8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8" fillId="13" borderId="11" xfId="2" applyFont="1" applyBorder="1" applyAlignment="1">
      <alignment horizontal="center"/>
    </xf>
    <xf numFmtId="0" fontId="13" fillId="18" borderId="14" xfId="0" applyFont="1" applyFill="1" applyBorder="1" applyAlignment="1">
      <alignment horizontal="center" vertical="center"/>
    </xf>
    <xf numFmtId="0" fontId="13" fillId="18" borderId="23" xfId="0" applyFont="1" applyFill="1" applyBorder="1" applyAlignment="1">
      <alignment horizontal="center" vertical="center"/>
    </xf>
    <xf numFmtId="0" fontId="13" fillId="18" borderId="15" xfId="0" applyFont="1" applyFill="1" applyBorder="1" applyAlignment="1">
      <alignment horizontal="center" vertical="center"/>
    </xf>
    <xf numFmtId="0" fontId="13" fillId="18" borderId="18" xfId="0" applyFont="1" applyFill="1" applyBorder="1" applyAlignment="1">
      <alignment horizontal="center" vertical="center"/>
    </xf>
    <xf numFmtId="0" fontId="13" fillId="18" borderId="16" xfId="0" applyFont="1" applyFill="1" applyBorder="1" applyAlignment="1">
      <alignment horizontal="center" vertical="center"/>
    </xf>
    <xf numFmtId="0" fontId="13" fillId="18" borderId="19" xfId="0" applyFont="1" applyFill="1" applyBorder="1" applyAlignment="1">
      <alignment horizontal="center" vertical="center"/>
    </xf>
    <xf numFmtId="168" fontId="0" fillId="0" borderId="0" xfId="0" applyNumberFormat="1"/>
    <xf numFmtId="169" fontId="0" fillId="0" borderId="0" xfId="0" applyNumberFormat="1"/>
  </cellXfs>
  <cellStyles count="8">
    <cellStyle name="60 % - Accent1" xfId="3" builtinId="32"/>
    <cellStyle name="Accent1" xfId="2" builtinId="29"/>
    <cellStyle name="Accent3" xfId="4" builtinId="37"/>
    <cellStyle name="Accent6" xfId="5" builtinId="49"/>
    <cellStyle name="Normal" xfId="0" builtinId="0"/>
    <cellStyle name="Pourcentage" xfId="7" builtinId="5"/>
    <cellStyle name="Titre 2" xfId="6" builtinId="17"/>
    <cellStyle name="Titre 4" xfId="1" builtinId="19"/>
  </cellStyles>
  <dxfs count="17">
    <dxf>
      <numFmt numFmtId="2" formatCode="0.00"/>
    </dxf>
    <dxf>
      <numFmt numFmtId="2" formatCode="0.00"/>
    </dxf>
    <dxf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4"/>
        <color theme="3"/>
        <name val="Calibri"/>
        <scheme val="minor"/>
      </font>
    </dxf>
    <dxf>
      <numFmt numFmtId="0" formatCode="General"/>
    </dxf>
    <dxf>
      <numFmt numFmtId="0" formatCode="General"/>
    </dxf>
    <dxf>
      <numFmt numFmtId="30" formatCode="@"/>
    </dxf>
    <dxf>
      <numFmt numFmtId="30" formatCode="@"/>
    </dxf>
    <dxf>
      <font>
        <color theme="0"/>
      </font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17</xdr:row>
          <xdr:rowOff>47625</xdr:rowOff>
        </xdr:from>
        <xdr:to>
          <xdr:col>1</xdr:col>
          <xdr:colOff>1514475</xdr:colOff>
          <xdr:row>18</xdr:row>
          <xdr:rowOff>238125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Sauvegarder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552450</xdr:colOff>
          <xdr:row>1</xdr:row>
          <xdr:rowOff>200025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Effacer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0</xdr:row>
          <xdr:rowOff>0</xdr:rowOff>
        </xdr:from>
        <xdr:to>
          <xdr:col>3</xdr:col>
          <xdr:colOff>685800</xdr:colOff>
          <xdr:row>1</xdr:row>
          <xdr:rowOff>209550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Sauvegarder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Metalhom R_OutilUsinage_Percage" preserveFormatting="0" connectionId="2" autoFormatId="16" applyNumberFormats="0" applyBorderFormats="0" applyFontFormats="0" applyPatternFormats="0" applyAlignmentFormats="0" applyWidthHeightFormats="0">
  <queryTableRefresh preserveSortFilterLayout="0" nextId="9">
    <queryTableFields count="8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</queryTableFields>
  </queryTableRefresh>
</queryTable>
</file>

<file path=xl/queryTables/queryTable2.xml><?xml version="1.0" encoding="utf-8"?>
<queryTable xmlns="http://schemas.openxmlformats.org/spreadsheetml/2006/main" name="Metalhom.accdb" connectionId="1" autoFormatId="16" applyNumberFormats="0" applyBorderFormats="0" applyFontFormats="0" applyPatternFormats="0" applyAlignmentFormats="0" applyWidthHeightFormats="0">
  <queryTableRefresh preserveSortFilterLayout="0" nextId="10">
    <queryTableFields count="9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Percage" tableColumnId="8"/>
      <queryTableField id="9" name="Description" tableColumnId="9"/>
    </queryTableFields>
  </queryTableRefresh>
</queryTable>
</file>

<file path=xl/queryTables/queryTable3.xml><?xml version="1.0" encoding="utf-8"?>
<queryTable xmlns="http://schemas.openxmlformats.org/spreadsheetml/2006/main" name="Metalhom.accdb_1" connectionId="3" autoFormatId="16" applyNumberFormats="0" applyBorderFormats="0" applyFontFormats="0" applyPatternFormats="0" applyAlignmentFormats="0" applyWidthHeightFormats="0">
  <queryTableRefresh preserveSortFilterLayout="0" nextId="12">
    <queryTableFields count="11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idx" tableColumnId="9"/>
      <queryTableField id="10" name="mini" tableColumnId="10"/>
      <queryTableField id="11" name="maxi" tableColumnId="11"/>
    </queryTableFields>
  </queryTableRefresh>
</queryTable>
</file>

<file path=xl/queryTables/queryTable4.xml><?xml version="1.0" encoding="utf-8"?>
<queryTable xmlns="http://schemas.openxmlformats.org/spreadsheetml/2006/main" name="Metalhom.accdb_2" connectionId="4" autoFormatId="16" applyNumberFormats="0" applyBorderFormats="0" applyFontFormats="0" applyPatternFormats="0" applyAlignmentFormats="0" applyWidthHeightFormats="0">
  <queryTableRefresh preserveSortFilterLayout="0" nextId="9">
    <queryTableFields count="8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Description" tableColumnId="8"/>
    </queryTableFields>
  </queryTableRefresh>
</queryTable>
</file>

<file path=xl/queryTables/queryTable5.xml><?xml version="1.0" encoding="utf-8"?>
<queryTable xmlns="http://schemas.openxmlformats.org/spreadsheetml/2006/main" name="Metalhom.accdb_3" connectionId="5" autoFormatId="16" applyNumberFormats="0" applyBorderFormats="0" applyFontFormats="0" applyPatternFormats="0" applyAlignmentFormats="0" applyWidthHeightFormats="0">
  <queryTableRefresh nextId="10">
    <queryTableFields count="9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Description" tableColumnId="8"/>
      <queryTableField id="9" name="ApteEbauche" tableColumnId="9"/>
    </queryTableFields>
  </queryTableRefresh>
</queryTable>
</file>

<file path=xl/queryTables/queryTable6.xml><?xml version="1.0" encoding="utf-8"?>
<queryTable xmlns="http://schemas.openxmlformats.org/spreadsheetml/2006/main" name="Metalhom.accdb_4" connectionId="6" autoFormatId="16" applyNumberFormats="0" applyBorderFormats="0" applyFontFormats="0" applyPatternFormats="0" applyAlignmentFormats="0" applyWidthHeightFormats="0">
  <queryTableRefresh preserveSortFilterLayout="0" nextId="9">
    <queryTableFields count="8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</queryTableFields>
  </queryTableRefresh>
</queryTable>
</file>

<file path=xl/queryTables/queryTable7.xml><?xml version="1.0" encoding="utf-8"?>
<queryTable xmlns="http://schemas.openxmlformats.org/spreadsheetml/2006/main" name="Metalhom.accdb_5" connectionId="7" autoFormatId="16" applyNumberFormats="0" applyBorderFormats="0" applyFontFormats="0" applyPatternFormats="0" applyAlignmentFormats="0" applyWidthHeightFormats="0">
  <queryTableRefresh nextId="7">
    <queryTableFields count="6">
      <queryTableField id="1" name="NuanceMere" tableColumnId="1"/>
      <queryTableField id="2" name="NuanceFille" tableColumnId="2"/>
      <queryTableField id="3" name="Densite" tableColumnId="3"/>
      <queryTableField id="4" name="Durete" tableColumnId="4"/>
      <queryTableField id="5" name="ClasseMatiere" tableColumnId="5"/>
      <queryTableField id="6" name="Description" tableColumnId="6"/>
    </queryTableFields>
  </queryTableRefresh>
</queryTable>
</file>

<file path=xl/queryTables/queryTable8.xml><?xml version="1.0" encoding="utf-8"?>
<queryTable xmlns="http://schemas.openxmlformats.org/spreadsheetml/2006/main" name="Metalhom.accdb_6" connectionId="8" autoFormatId="16" applyNumberFormats="0" applyBorderFormats="0" applyFontFormats="0" applyPatternFormats="0" applyAlignmentFormats="0" applyWidthHeightFormats="0">
  <queryTableRefresh nextId="6">
    <queryTableFields count="5">
      <queryTableField id="1" name="Nuance" tableColumnId="1"/>
      <queryTableField id="2" name="Densite" tableColumnId="2"/>
      <queryTableField id="3" name="Durete" tableColumnId="3"/>
      <queryTableField id="4" name="ClasseMatiere" tableColumnId="4"/>
      <queryTableField id="5" name="Description" tableColumnId="5"/>
    </queryTableFields>
  </queryTableRefresh>
</queryTable>
</file>

<file path=xl/queryTables/queryTable9.xml><?xml version="1.0" encoding="utf-8"?>
<queryTable xmlns="http://schemas.openxmlformats.org/spreadsheetml/2006/main" name="Metalhom.accdb_7" connectionId="9" autoFormatId="16" applyNumberFormats="0" applyBorderFormats="0" applyFontFormats="0" applyPatternFormats="0" applyAlignmentFormats="0" applyWidthHeightFormats="0">
  <queryTableRefresh nextId="9">
    <queryTableFields count="8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Surfacage" tableColumnId="8"/>
    </queryTableFields>
  </queryTableRefresh>
</queryTable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id="1" name="Tableau1" displayName="Tableau1" ref="A2:A9" totalsRowShown="0">
  <autoFilter ref="A2:A9"/>
  <tableColumns count="1">
    <tableColumn id="1" name="Opérations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3" name="Tableau3" displayName="Tableau3" ref="C2:D4" totalsRowShown="0">
  <autoFilter ref="C2:D4"/>
  <tableColumns count="2">
    <tableColumn id="1" name="Matieres"/>
    <tableColumn id="2" name="Nuance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Tableau4" displayName="Tableau4" ref="F2:F5" totalsRowShown="0">
  <autoFilter ref="F2:F5"/>
  <tableColumns count="1">
    <tableColumn id="1" name="Type Outil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5" name="Tableau5" displayName="Tableau5" ref="O2:Q31" totalsRowShown="0">
  <autoFilter ref="O2:Q31"/>
  <tableColumns count="3">
    <tableColumn id="1" name="Nuance Iso"/>
    <tableColumn id="2" name="Classe" dataDxfId="15"/>
    <tableColumn id="3" name="Nuance">
      <calculatedColumnFormula>CONCATENATE($O$28,P3)</calculatedColumnFormula>
    </tableColumn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8" name="Tableau8" displayName="Tableau8" ref="S2:U6" totalsRowShown="0">
  <autoFilter ref="S2:U6"/>
  <tableColumns count="3">
    <tableColumn id="1" name="Acier Rapide"/>
    <tableColumn id="2" name="Acier Rapide Revêtu"/>
    <tableColumn id="3" name="Carbure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id="9" name="Tableau9" displayName="Tableau9" ref="AB2:AH32" totalsRowShown="0">
  <autoFilter ref="AB2:AH32"/>
  <tableColumns count="7">
    <tableColumn id="1" name="Métrique"/>
    <tableColumn id="2" name="Pas/avance"/>
    <tableColumn id="3" name="Ø percage">
      <calculatedColumnFormula>AB3-AC3</calculatedColumnFormula>
    </tableColumn>
    <tableColumn id="4" name="Vc"/>
    <tableColumn id="5" name="Gaz" dataDxfId="14"/>
    <tableColumn id="6" name="Pas"/>
    <tableColumn id="7" name="Ø Percage2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id="10" name="Tableau10" displayName="Tableau10" ref="AJ2:AN6" totalsRowShown="0">
  <autoFilter ref="AJ2:AN6"/>
  <tableColumns count="5">
    <tableColumn id="1" name="Ø"/>
    <tableColumn id="2" name="Dents / z"/>
    <tableColumn id="3" name="avance / fz" dataDxfId="13">
      <calculatedColumnFormula>0.2</calculatedColumnFormula>
    </tableColumn>
    <tableColumn id="4" name="vc"/>
    <tableColumn id="5" name="profondeur passe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id="11" name="Tableau11" displayName="Tableau11" ref="AP2:AT4" totalsRowShown="0">
  <autoFilter ref="AP2:AT4"/>
  <tableColumns count="5">
    <tableColumn id="1" name="Ø"/>
    <tableColumn id="2" name="Dents / Z"/>
    <tableColumn id="3" name="avance / fz" dataDxfId="12">
      <calculatedColumnFormula>0.3</calculatedColumnFormula>
    </tableColumn>
    <tableColumn id="4" name="vc"/>
    <tableColumn id="5" name="profondeur passe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id="12" name="Tableau12" displayName="Tableau12" ref="AV2:AY3" totalsRowShown="0">
  <autoFilter ref="AV2:AY3"/>
  <tableColumns count="4">
    <tableColumn id="1" name="Colonne1"/>
    <tableColumn id="2" name="Dents / Z"/>
    <tableColumn id="3" name="avance / fz">
      <calculatedColumnFormula>0.1</calculatedColumnFormula>
    </tableColumn>
    <tableColumn id="4" name="vc"/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id="13" name="Tableau13" displayName="Tableau13" ref="BA2:BD4" totalsRowShown="0">
  <autoFilter ref="BA2:BD4"/>
  <tableColumns count="4">
    <tableColumn id="1" name="Ø"/>
    <tableColumn id="2" name="Dents / Z"/>
    <tableColumn id="3" name="avance / fz">
      <calculatedColumnFormula>0.2</calculatedColumnFormula>
    </tableColumn>
    <tableColumn id="4" name="vc"/>
  </tableColumns>
  <tableStyleInfo name="TableStyleMedium1" showFirstColumn="0" showLastColumn="0" showRowStripes="1" showColumnStripes="0"/>
</table>
</file>

<file path=xl/tables/table11.xml><?xml version="1.0" encoding="utf-8"?>
<table xmlns="http://schemas.openxmlformats.org/spreadsheetml/2006/main" id="2" name="Tableau2" displayName="Tableau2" ref="W2:Z5" totalsRowShown="0">
  <autoFilter ref="W2:Z5"/>
  <tableColumns count="4">
    <tableColumn id="1" name="Ø"/>
    <tableColumn id="2" name="Dents / z"/>
    <tableColumn id="3" name="avance / fz"/>
    <tableColumn id="4" name="vc"/>
  </tableColumns>
  <tableStyleInfo name="TableStyleMedium1" showFirstColumn="0" showLastColumn="0" showRowStripes="1" showColumnStripes="0"/>
</table>
</file>

<file path=xl/tables/table12.xml><?xml version="1.0" encoding="utf-8"?>
<table xmlns="http://schemas.openxmlformats.org/spreadsheetml/2006/main" id="14" name="Tableau_Percage" displayName="Tableau_Percage" ref="BR2:BY48" tableType="queryTable" totalsRowShown="0">
  <autoFilter ref="BR2:BY48"/>
  <tableColumns count="8">
    <tableColumn id="1" uniqueName="1" name="Description" queryTableFieldId="1"/>
    <tableColumn id="2" uniqueName="2" name="Diametre" queryTableFieldId="2" dataDxfId="0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7" name="Tableau_Taraudage" displayName="Tableau_Taraudage" ref="CA2:CI12" tableType="queryTable" totalsRowShown="0">
  <autoFilter ref="CA2:CI12"/>
  <tableColumns count="9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Percage" queryTableFieldId="8"/>
    <tableColumn id="9" uniqueName="9" name="Description" queryTableFieldId="9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5" name="Tableau_GrainFinition" displayName="Tableau_GrainFinition" ref="CK2:CU8" tableType="queryTable" totalsRowShown="0">
  <autoFilter ref="CK2:CU8"/>
  <tableColumns count="11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idx" queryTableFieldId="9"/>
    <tableColumn id="10" uniqueName="10" name="mini" queryTableFieldId="10"/>
    <tableColumn id="11" uniqueName="11" name="maxi" queryTableFieldId="11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6" name="Tableau_FraiseFinition" displayName="Tableau_FraiseFinition" ref="CW2:DD6" tableType="queryTable" totalsRowShown="0">
  <autoFilter ref="CW2:DD6"/>
  <tableColumns count="8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Description" queryTableFieldId="8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7" name="Tableau_FraiseEbauche" displayName="Tableau_FraiseEbauche" ref="DF2:DN11" tableType="queryTable" totalsRowShown="0">
  <autoFilter ref="DF2:DN11"/>
  <tableColumns count="9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Description" queryTableFieldId="8"/>
    <tableColumn id="9" uniqueName="9" name="ApteEbauche" queryTableFieldId="9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8" name="Tableau_Chanfreinage" displayName="Tableau_Chanfreinage" ref="DP2:DW8" tableType="queryTable" totalsRowShown="0">
  <autoFilter ref="DP2:DW8"/>
  <tableColumns count="8">
    <tableColumn id="1" uniqueName="1" name="Description" queryTableFieldId="1"/>
    <tableColumn id="2" uniqueName="2" name="Diametre" queryTableFieldId="2"/>
    <tableColumn id="3" uniqueName="3" name="Dent" queryTableFieldId="3" dataDxfId="2"/>
    <tableColumn id="4" uniqueName="4" name="Avance" queryTableFieldId="4" dataDxfId="1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20" name="Tableau_Nuance" displayName="Tableau_Nuance" ref="BK2:BP59" tableType="queryTable" totalsRowShown="0">
  <autoFilter ref="BK2:BP59"/>
  <tableColumns count="6">
    <tableColumn id="1" uniqueName="1" name="NuanceMere" queryTableFieldId="1"/>
    <tableColumn id="2" uniqueName="2" name="NuanceFille" queryTableFieldId="2"/>
    <tableColumn id="3" uniqueName="3" name="Densite" queryTableFieldId="3"/>
    <tableColumn id="4" uniqueName="4" name="Durete" queryTableFieldId="4"/>
    <tableColumn id="5" uniqueName="5" name="ClasseMatiere" queryTableFieldId="5"/>
    <tableColumn id="6" uniqueName="6" name="Description" queryTableFieldId="6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9" name="Tableau_NuanceMere" displayName="Tableau_NuanceMere" ref="BE2:BI9" tableType="queryTable" totalsRowShown="0">
  <autoFilter ref="BE2:BI9"/>
  <tableColumns count="5">
    <tableColumn id="1" uniqueName="1" name="Nuance" queryTableFieldId="1"/>
    <tableColumn id="2" uniqueName="2" name="Densite" queryTableFieldId="2"/>
    <tableColumn id="3" uniqueName="3" name="Durete" queryTableFieldId="3"/>
    <tableColumn id="4" uniqueName="4" name="ClasseMatiere" queryTableFieldId="4"/>
    <tableColumn id="5" uniqueName="5" name="Description" queryTableFieldId="5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21" name="Tableau_Surfacage" displayName="Tableau_Surfacage" ref="DY2:EF8" tableType="queryTable" totalsRowShown="0">
  <autoFilter ref="DY2:EF8"/>
  <tableColumns count="8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Surfacage" queryTableFieldId="8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6" name="Tableau6" displayName="Tableau6" ref="B2:H35" totalsRowShown="0" headerRowDxfId="11" dataDxfId="10" headerRowCellStyle="Titre 2">
  <autoFilter ref="B2:H35"/>
  <tableColumns count="7">
    <tableColumn id="1" name="Description" dataDxfId="9"/>
    <tableColumn id="2" name="Type" dataDxfId="8"/>
    <tableColumn id="3" name="Ø" dataDxfId="7"/>
    <tableColumn id="4" name="Nbre Dent" dataDxfId="6"/>
    <tableColumn id="5" name="Avance" dataDxfId="5"/>
    <tableColumn id="6" name="Vitesse Coupe" dataDxfId="4"/>
    <tableColumn id="7" name="Profondeur Passe" dataDxfId="3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18" Type="http://schemas.openxmlformats.org/officeDocument/2006/relationships/table" Target="../tables/table17.xml"/><Relationship Id="rId3" Type="http://schemas.openxmlformats.org/officeDocument/2006/relationships/table" Target="../tables/table2.xml"/><Relationship Id="rId21" Type="http://schemas.openxmlformats.org/officeDocument/2006/relationships/table" Target="../tables/table20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17" Type="http://schemas.openxmlformats.org/officeDocument/2006/relationships/table" Target="../tables/table16.xml"/><Relationship Id="rId2" Type="http://schemas.openxmlformats.org/officeDocument/2006/relationships/table" Target="../tables/table1.xml"/><Relationship Id="rId16" Type="http://schemas.openxmlformats.org/officeDocument/2006/relationships/table" Target="../tables/table15.xml"/><Relationship Id="rId20" Type="http://schemas.openxmlformats.org/officeDocument/2006/relationships/table" Target="../tables/table19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5" Type="http://schemas.openxmlformats.org/officeDocument/2006/relationships/table" Target="../tables/table14.xml"/><Relationship Id="rId10" Type="http://schemas.openxmlformats.org/officeDocument/2006/relationships/table" Target="../tables/table9.xml"/><Relationship Id="rId19" Type="http://schemas.openxmlformats.org/officeDocument/2006/relationships/table" Target="../tables/table18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B1:Z32"/>
  <sheetViews>
    <sheetView zoomScale="110" zoomScaleNormal="110" workbookViewId="0">
      <selection activeCell="G1" sqref="G1:J1"/>
    </sheetView>
  </sheetViews>
  <sheetFormatPr baseColWidth="10" defaultRowHeight="15" x14ac:dyDescent="0.25"/>
  <cols>
    <col min="2" max="2" width="53.42578125" customWidth="1"/>
    <col min="3" max="8" width="4.85546875" customWidth="1"/>
    <col min="9" max="9" width="3" customWidth="1"/>
    <col min="10" max="10" width="7" customWidth="1"/>
    <col min="12" max="12" width="7.85546875" customWidth="1"/>
    <col min="13" max="13" width="6.42578125" customWidth="1"/>
    <col min="14" max="14" width="12" bestFit="1" customWidth="1"/>
  </cols>
  <sheetData>
    <row r="1" spans="2:26" ht="21" x14ac:dyDescent="0.35">
      <c r="B1" s="92" t="str">
        <f>'Calcul Temps Technique'!D3</f>
        <v>Rep6</v>
      </c>
      <c r="C1" s="98" t="s">
        <v>94</v>
      </c>
      <c r="D1" s="98"/>
      <c r="E1" s="98"/>
      <c r="F1" s="98"/>
      <c r="G1" s="102">
        <v>4.3</v>
      </c>
      <c r="H1" s="103"/>
      <c r="I1" s="103"/>
      <c r="J1" s="104"/>
      <c r="K1" s="25"/>
      <c r="L1" s="91" t="s">
        <v>137</v>
      </c>
      <c r="M1" s="91"/>
      <c r="N1" s="91"/>
      <c r="O1" s="91"/>
      <c r="P1" s="21"/>
      <c r="Q1" s="21"/>
      <c r="R1" s="21"/>
      <c r="S1" s="21"/>
      <c r="T1" s="21"/>
      <c r="U1" s="21"/>
      <c r="V1" s="21"/>
      <c r="W1" s="21"/>
      <c r="X1" s="21"/>
      <c r="Y1" s="21"/>
      <c r="Z1" s="21" t="b">
        <v>0</v>
      </c>
    </row>
    <row r="2" spans="2:26" ht="21.75" thickBot="1" x14ac:dyDescent="0.4">
      <c r="B2" s="93"/>
      <c r="C2" s="98" t="s">
        <v>96</v>
      </c>
      <c r="D2" s="98"/>
      <c r="E2" s="98"/>
      <c r="F2" s="98"/>
      <c r="G2" s="99">
        <v>250</v>
      </c>
      <c r="H2" s="100"/>
      <c r="I2" s="100"/>
      <c r="J2" s="101"/>
      <c r="K2" s="25"/>
      <c r="L2" s="61" t="s">
        <v>95</v>
      </c>
      <c r="M2" s="61"/>
      <c r="N2" s="61"/>
      <c r="O2" s="22">
        <f>SUM(O21:O32)</f>
        <v>394.20792374265659</v>
      </c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</row>
    <row r="3" spans="2:26" ht="18.75" x14ac:dyDescent="0.3">
      <c r="B3" s="26" t="s">
        <v>125</v>
      </c>
      <c r="C3" s="27"/>
      <c r="D3" s="27"/>
      <c r="E3" s="27"/>
      <c r="F3" s="27"/>
      <c r="G3" s="27"/>
      <c r="H3" s="27"/>
      <c r="I3" s="27"/>
      <c r="J3" s="27"/>
      <c r="K3" s="25"/>
      <c r="L3" s="61" t="s">
        <v>97</v>
      </c>
      <c r="M3" s="61"/>
      <c r="N3" s="61"/>
      <c r="O3" s="32">
        <f>CONVERT(O2,"sec","mn")</f>
        <v>6.5701320623776098</v>
      </c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</row>
    <row r="4" spans="2:26" ht="18.75" x14ac:dyDescent="0.3">
      <c r="B4" s="23"/>
      <c r="C4" s="25"/>
      <c r="D4" s="25"/>
      <c r="E4" s="25"/>
      <c r="F4" s="25"/>
      <c r="G4" s="25"/>
      <c r="H4" s="25"/>
      <c r="I4" s="25"/>
      <c r="J4" s="25"/>
      <c r="K4" s="25"/>
      <c r="L4" s="61" t="s">
        <v>98</v>
      </c>
      <c r="M4" s="61"/>
      <c r="N4" s="61"/>
      <c r="O4" s="32">
        <f>IF(OR(ISBLANK(O2),O2=0),0,ROUNDDOWN(3600/O2,0))</f>
        <v>9</v>
      </c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</row>
    <row r="5" spans="2:26" ht="18.75" x14ac:dyDescent="0.3">
      <c r="B5" s="24" t="s">
        <v>49</v>
      </c>
      <c r="C5" s="105">
        <f>'Calcul Temps Technique'!D4</f>
        <v>70</v>
      </c>
      <c r="D5" s="105"/>
      <c r="E5" s="105"/>
      <c r="F5" s="105"/>
      <c r="G5" s="105"/>
      <c r="H5" s="25"/>
      <c r="I5" s="25"/>
      <c r="J5" s="25"/>
      <c r="K5" s="25"/>
      <c r="L5" s="91" t="s">
        <v>138</v>
      </c>
      <c r="M5" s="91"/>
      <c r="N5" s="91"/>
      <c r="O5" s="9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</row>
    <row r="6" spans="2:26" ht="19.5" thickBot="1" x14ac:dyDescent="0.35">
      <c r="B6" s="24" t="s">
        <v>126</v>
      </c>
      <c r="C6" s="105">
        <f>'Calcul Temps Technique'!D6</f>
        <v>1</v>
      </c>
      <c r="D6" s="105"/>
      <c r="E6" s="105"/>
      <c r="F6" s="105"/>
      <c r="G6" s="105"/>
      <c r="H6" s="28"/>
      <c r="I6" s="25"/>
      <c r="J6" s="25"/>
      <c r="K6" s="25"/>
      <c r="L6" s="61" t="s">
        <v>95</v>
      </c>
      <c r="M6" s="61"/>
      <c r="N6" s="61"/>
      <c r="O6" s="22">
        <f>O26</f>
        <v>199.80792374265656</v>
      </c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</row>
    <row r="7" spans="2:26" ht="21" x14ac:dyDescent="0.35">
      <c r="B7" s="29" t="s">
        <v>143</v>
      </c>
      <c r="C7" s="102">
        <v>4</v>
      </c>
      <c r="D7" s="103"/>
      <c r="E7" s="103"/>
      <c r="F7" s="103"/>
      <c r="G7" s="104"/>
      <c r="H7" s="28"/>
      <c r="I7" s="25"/>
      <c r="J7" s="25"/>
      <c r="K7" s="25"/>
      <c r="L7" s="61" t="s">
        <v>139</v>
      </c>
      <c r="M7" s="61"/>
      <c r="N7" s="61" t="s">
        <v>140</v>
      </c>
      <c r="O7" s="32">
        <f>O2-O6</f>
        <v>194.40000000000003</v>
      </c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</row>
    <row r="8" spans="2:26" ht="21.75" thickBot="1" x14ac:dyDescent="0.4">
      <c r="B8" s="24" t="s">
        <v>136</v>
      </c>
      <c r="C8" s="99">
        <v>9</v>
      </c>
      <c r="D8" s="100"/>
      <c r="E8" s="100"/>
      <c r="F8" s="100"/>
      <c r="G8" s="101"/>
      <c r="H8" s="28"/>
      <c r="I8" s="28"/>
      <c r="J8" s="25"/>
      <c r="K8" s="25"/>
      <c r="L8" s="61" t="s">
        <v>97</v>
      </c>
      <c r="M8" s="61"/>
      <c r="N8" s="61"/>
      <c r="O8" s="32">
        <f>CONVERT(O6,"sec","mn")</f>
        <v>3.3301320623776092</v>
      </c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</row>
    <row r="9" spans="2:26" ht="21.75" thickBot="1" x14ac:dyDescent="0.4">
      <c r="B9" s="24" t="s">
        <v>145</v>
      </c>
      <c r="C9" s="99" t="b">
        <v>1</v>
      </c>
      <c r="D9" s="100"/>
      <c r="E9" s="100"/>
      <c r="F9" s="100"/>
      <c r="G9" s="101"/>
      <c r="H9" s="28"/>
      <c r="I9" s="28"/>
      <c r="J9" s="25"/>
      <c r="K9" s="25"/>
      <c r="L9" s="61" t="s">
        <v>98</v>
      </c>
      <c r="M9" s="61"/>
      <c r="N9" s="61"/>
      <c r="O9" s="32">
        <f>IF(OR(ISBLANK(O6),O6=0),0,ROUNDDOWN(3600/O6,0))</f>
        <v>18</v>
      </c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</row>
    <row r="10" spans="2:26" ht="18.75" hidden="1" x14ac:dyDescent="0.3">
      <c r="B10" s="25"/>
      <c r="C10" s="28"/>
      <c r="D10" s="28"/>
      <c r="E10" s="28"/>
      <c r="F10" s="28"/>
      <c r="G10" s="28"/>
      <c r="H10" s="28"/>
      <c r="I10" s="28"/>
      <c r="J10" s="25"/>
      <c r="K10" s="25"/>
      <c r="L10" s="25"/>
      <c r="M10" s="25"/>
      <c r="N10" s="25"/>
      <c r="O10" s="25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</row>
    <row r="11" spans="2:26" ht="18.75" hidden="1" x14ac:dyDescent="0.3">
      <c r="B11" s="25"/>
      <c r="C11" s="28"/>
      <c r="D11" s="28"/>
      <c r="E11" s="28"/>
      <c r="F11" s="28"/>
      <c r="G11" s="28"/>
      <c r="H11" s="28"/>
      <c r="I11" s="28"/>
      <c r="J11" s="25"/>
      <c r="K11" s="25"/>
      <c r="L11" s="25"/>
      <c r="M11" s="25"/>
      <c r="N11" s="25"/>
      <c r="O11" s="25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</row>
    <row r="12" spans="2:26" ht="18.75" hidden="1" x14ac:dyDescent="0.3">
      <c r="B12" s="25"/>
      <c r="C12" s="28"/>
      <c r="D12" s="28"/>
      <c r="E12" s="28"/>
      <c r="F12" s="28"/>
      <c r="G12" s="28"/>
      <c r="H12" s="28"/>
      <c r="I12" s="28"/>
      <c r="J12" s="25"/>
      <c r="K12" s="25"/>
      <c r="L12" s="25"/>
      <c r="M12" s="25"/>
      <c r="N12" s="25"/>
      <c r="O12" s="25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</row>
    <row r="13" spans="2:26" ht="18.75" hidden="1" x14ac:dyDescent="0.3">
      <c r="B13" s="25"/>
      <c r="C13" s="28"/>
      <c r="D13" s="28"/>
      <c r="E13" s="28"/>
      <c r="F13" s="28"/>
      <c r="G13" s="28"/>
      <c r="H13" s="28"/>
      <c r="I13" s="28"/>
      <c r="J13" s="25"/>
      <c r="K13" s="25"/>
      <c r="L13" s="25"/>
      <c r="M13" s="25"/>
      <c r="N13" s="25"/>
      <c r="O13" s="25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</row>
    <row r="14" spans="2:26" ht="18.75" hidden="1" x14ac:dyDescent="0.3">
      <c r="B14" s="25"/>
      <c r="C14" s="28"/>
      <c r="D14" s="28"/>
      <c r="E14" s="28"/>
      <c r="F14" s="28"/>
      <c r="G14" s="28"/>
      <c r="H14" s="28"/>
      <c r="I14" s="28"/>
      <c r="J14" s="25"/>
      <c r="K14" s="25"/>
      <c r="L14" s="25"/>
      <c r="M14" s="25"/>
      <c r="N14" s="25"/>
      <c r="O14" s="25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</row>
    <row r="15" spans="2:26" ht="18.75" hidden="1" x14ac:dyDescent="0.3">
      <c r="B15" s="25"/>
      <c r="C15" s="28"/>
      <c r="D15" s="28"/>
      <c r="E15" s="28"/>
      <c r="F15" s="28"/>
      <c r="G15" s="28"/>
      <c r="H15" s="28"/>
      <c r="I15" s="28"/>
      <c r="J15" s="25"/>
      <c r="K15" s="25"/>
      <c r="L15" s="25"/>
      <c r="M15" s="25"/>
      <c r="N15" s="25"/>
      <c r="O15" s="25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</row>
    <row r="16" spans="2:26" ht="18.75" hidden="1" x14ac:dyDescent="0.3"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</row>
    <row r="17" spans="2:26" ht="18.75" hidden="1" x14ac:dyDescent="0.3"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</row>
    <row r="18" spans="2:26" ht="19.5" thickBot="1" x14ac:dyDescent="0.35"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19"/>
      <c r="Q18" s="19"/>
      <c r="R18" s="19"/>
      <c r="W18" s="19"/>
      <c r="X18" s="19"/>
      <c r="Y18" s="19"/>
      <c r="Z18" s="19"/>
    </row>
    <row r="19" spans="2:26" ht="38.25" thickBot="1" x14ac:dyDescent="0.35">
      <c r="B19" s="48"/>
      <c r="C19" s="106" t="s">
        <v>129</v>
      </c>
      <c r="D19" s="94"/>
      <c r="E19" s="94"/>
      <c r="F19" s="94" t="s">
        <v>99</v>
      </c>
      <c r="G19" s="94"/>
      <c r="H19" s="94"/>
      <c r="I19" s="94" t="s">
        <v>100</v>
      </c>
      <c r="J19" s="94"/>
      <c r="K19" s="49" t="s">
        <v>101</v>
      </c>
      <c r="L19" s="49" t="s">
        <v>102</v>
      </c>
      <c r="M19" s="50" t="s">
        <v>103</v>
      </c>
      <c r="N19" s="94" t="s">
        <v>50</v>
      </c>
      <c r="O19" s="95"/>
      <c r="P19" s="19"/>
      <c r="Q19" s="19"/>
      <c r="R19" s="19"/>
      <c r="W19" s="19"/>
      <c r="X19" s="19"/>
      <c r="Y19" s="19"/>
      <c r="Z19" s="19"/>
    </row>
    <row r="20" spans="2:26" ht="18.75" x14ac:dyDescent="0.3">
      <c r="B20" s="56" t="s">
        <v>104</v>
      </c>
      <c r="C20" s="58" t="s">
        <v>105</v>
      </c>
      <c r="D20" s="51" t="s">
        <v>106</v>
      </c>
      <c r="E20" s="51" t="s">
        <v>107</v>
      </c>
      <c r="F20" s="51" t="s">
        <v>105</v>
      </c>
      <c r="G20" s="51" t="s">
        <v>106</v>
      </c>
      <c r="H20" s="51" t="s">
        <v>6</v>
      </c>
      <c r="I20" s="96" t="s">
        <v>11</v>
      </c>
      <c r="J20" s="96"/>
      <c r="K20" s="51" t="s">
        <v>105</v>
      </c>
      <c r="L20" s="51" t="s">
        <v>108</v>
      </c>
      <c r="M20" s="51" t="s">
        <v>109</v>
      </c>
      <c r="N20" s="51" t="s">
        <v>110</v>
      </c>
      <c r="O20" s="52" t="s">
        <v>111</v>
      </c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</row>
    <row r="21" spans="2:26" ht="18.75" x14ac:dyDescent="0.3">
      <c r="B21" s="46" t="s">
        <v>127</v>
      </c>
      <c r="C21" s="59">
        <v>1</v>
      </c>
      <c r="D21" s="30">
        <v>6</v>
      </c>
      <c r="E21" s="30">
        <f>Manutention!$K$10</f>
        <v>6</v>
      </c>
      <c r="F21" s="30">
        <f>Manutention!$K$11</f>
        <v>1</v>
      </c>
      <c r="G21" s="30">
        <v>1</v>
      </c>
      <c r="H21" s="30">
        <v>3</v>
      </c>
      <c r="I21" s="97"/>
      <c r="J21" s="97"/>
      <c r="K21" s="30"/>
      <c r="L21" s="30"/>
      <c r="M21" s="30">
        <f>$C$6</f>
        <v>1</v>
      </c>
      <c r="N21" s="47">
        <f>IF(ISBLANK(L21),(C21+D21+E21+F21+G21+H21+I21+K21)*10,L21/0.036)*IF(ISBLANK(M21),1,M21)</f>
        <v>180</v>
      </c>
      <c r="O21" s="53">
        <f>N21*0.036</f>
        <v>6.4799999999999995</v>
      </c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</row>
    <row r="22" spans="2:26" ht="18.75" x14ac:dyDescent="0.3">
      <c r="B22" s="46" t="s">
        <v>112</v>
      </c>
      <c r="C22" s="59">
        <v>1</v>
      </c>
      <c r="D22" s="30"/>
      <c r="E22" s="30">
        <v>0</v>
      </c>
      <c r="F22" s="30">
        <v>3</v>
      </c>
      <c r="G22" s="30"/>
      <c r="H22" s="30">
        <v>6</v>
      </c>
      <c r="I22" s="97"/>
      <c r="J22" s="97"/>
      <c r="K22" s="30"/>
      <c r="L22" s="30"/>
      <c r="M22" s="30">
        <f t="shared" ref="M22" si="0">$C$6</f>
        <v>1</v>
      </c>
      <c r="N22" s="47">
        <f t="shared" ref="N22:N32" si="1">IF(ISBLANK(L22),(C22+D22+E22+F22+G22+H22+I22+K22)*10,L22/0.036)*IF(ISBLANK(M22),1,M22)</f>
        <v>100</v>
      </c>
      <c r="O22" s="53">
        <f t="shared" ref="O22:O32" si="2">N22*0.036</f>
        <v>3.5999999999999996</v>
      </c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</row>
    <row r="23" spans="2:26" ht="18.75" x14ac:dyDescent="0.3">
      <c r="B23" s="46" t="s">
        <v>128</v>
      </c>
      <c r="C23" s="59">
        <v>3</v>
      </c>
      <c r="D23" s="30">
        <v>6</v>
      </c>
      <c r="E23" s="30">
        <v>1</v>
      </c>
      <c r="F23" s="30">
        <v>3</v>
      </c>
      <c r="G23" s="30">
        <v>6</v>
      </c>
      <c r="H23" s="30">
        <v>10</v>
      </c>
      <c r="I23" s="97"/>
      <c r="J23" s="97"/>
      <c r="K23" s="30"/>
      <c r="L23" s="30"/>
      <c r="M23" s="30">
        <f>$C$7</f>
        <v>4</v>
      </c>
      <c r="N23" s="47">
        <f t="shared" si="1"/>
        <v>1160</v>
      </c>
      <c r="O23" s="53">
        <f t="shared" si="2"/>
        <v>41.76</v>
      </c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</row>
    <row r="24" spans="2:26" s="21" customFormat="1" ht="18.75" x14ac:dyDescent="0.3">
      <c r="B24" s="46" t="s">
        <v>130</v>
      </c>
      <c r="C24" s="59">
        <v>3</v>
      </c>
      <c r="D24" s="30">
        <v>3</v>
      </c>
      <c r="E24" s="30">
        <v>1</v>
      </c>
      <c r="F24" s="30"/>
      <c r="G24" s="30"/>
      <c r="H24" s="30"/>
      <c r="I24" s="97"/>
      <c r="J24" s="97"/>
      <c r="K24" s="30"/>
      <c r="L24" s="30"/>
      <c r="M24" s="30"/>
      <c r="N24" s="47">
        <f t="shared" si="1"/>
        <v>70</v>
      </c>
      <c r="O24" s="53">
        <f t="shared" si="2"/>
        <v>2.52</v>
      </c>
    </row>
    <row r="25" spans="2:26" s="21" customFormat="1" ht="18.75" x14ac:dyDescent="0.3">
      <c r="B25" s="46" t="s">
        <v>131</v>
      </c>
      <c r="C25" s="59"/>
      <c r="D25" s="30"/>
      <c r="E25" s="30"/>
      <c r="F25" s="30">
        <v>6</v>
      </c>
      <c r="G25" s="30">
        <v>1</v>
      </c>
      <c r="H25" s="30">
        <v>3</v>
      </c>
      <c r="I25" s="97"/>
      <c r="J25" s="97"/>
      <c r="K25" s="30"/>
      <c r="L25" s="30"/>
      <c r="M25" s="30"/>
      <c r="N25" s="47">
        <f t="shared" si="1"/>
        <v>100</v>
      </c>
      <c r="O25" s="53">
        <f t="shared" si="2"/>
        <v>3.5999999999999996</v>
      </c>
    </row>
    <row r="26" spans="2:26" ht="18.75" x14ac:dyDescent="0.3">
      <c r="B26" s="46" t="s">
        <v>113</v>
      </c>
      <c r="C26" s="59"/>
      <c r="D26" s="30"/>
      <c r="E26" s="30"/>
      <c r="F26" s="30"/>
      <c r="G26" s="30"/>
      <c r="H26" s="30"/>
      <c r="I26" s="97"/>
      <c r="J26" s="97"/>
      <c r="K26" s="30">
        <v>6</v>
      </c>
      <c r="L26" s="20">
        <f>'Calcul Temps Technique'!L5</f>
        <v>199.80792374265656</v>
      </c>
      <c r="M26" s="30">
        <v>1</v>
      </c>
      <c r="N26" s="47">
        <f t="shared" si="1"/>
        <v>5550.2201039626825</v>
      </c>
      <c r="O26" s="53">
        <f t="shared" si="2"/>
        <v>199.80792374265656</v>
      </c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</row>
    <row r="27" spans="2:26" ht="18.75" x14ac:dyDescent="0.3">
      <c r="B27" s="46" t="s">
        <v>132</v>
      </c>
      <c r="C27" s="59">
        <f>C25</f>
        <v>0</v>
      </c>
      <c r="D27" s="30">
        <f>D25</f>
        <v>0</v>
      </c>
      <c r="E27" s="30">
        <f t="shared" ref="E27:H27" si="3">E25</f>
        <v>0</v>
      </c>
      <c r="F27" s="30">
        <f t="shared" si="3"/>
        <v>6</v>
      </c>
      <c r="G27" s="30">
        <f t="shared" si="3"/>
        <v>1</v>
      </c>
      <c r="H27" s="30">
        <f t="shared" si="3"/>
        <v>3</v>
      </c>
      <c r="I27" s="97"/>
      <c r="J27" s="97"/>
      <c r="K27" s="30"/>
      <c r="L27" s="30"/>
      <c r="M27" s="30"/>
      <c r="N27" s="47">
        <f t="shared" si="1"/>
        <v>100</v>
      </c>
      <c r="O27" s="53">
        <f t="shared" si="2"/>
        <v>3.5999999999999996</v>
      </c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</row>
    <row r="28" spans="2:26" s="21" customFormat="1" ht="18.75" x14ac:dyDescent="0.3">
      <c r="B28" s="46" t="s">
        <v>134</v>
      </c>
      <c r="C28" s="59">
        <v>6</v>
      </c>
      <c r="D28" s="30">
        <v>3</v>
      </c>
      <c r="E28" s="30">
        <v>10</v>
      </c>
      <c r="F28" s="30">
        <v>6</v>
      </c>
      <c r="G28" s="30">
        <v>3</v>
      </c>
      <c r="H28" s="30">
        <v>10</v>
      </c>
      <c r="I28" s="97"/>
      <c r="J28" s="97"/>
      <c r="K28" s="30"/>
      <c r="L28" s="30"/>
      <c r="M28" s="30"/>
      <c r="N28" s="47">
        <f t="shared" si="1"/>
        <v>380</v>
      </c>
      <c r="O28" s="53">
        <f t="shared" si="2"/>
        <v>13.68</v>
      </c>
    </row>
    <row r="29" spans="2:26" ht="18.75" x14ac:dyDescent="0.3">
      <c r="B29" s="46" t="s">
        <v>133</v>
      </c>
      <c r="C29" s="59">
        <f>C23</f>
        <v>3</v>
      </c>
      <c r="D29" s="30">
        <f>D23</f>
        <v>6</v>
      </c>
      <c r="E29" s="30">
        <f>E23</f>
        <v>1</v>
      </c>
      <c r="F29" s="30">
        <f>F23</f>
        <v>3</v>
      </c>
      <c r="G29" s="30">
        <f>G23</f>
        <v>6</v>
      </c>
      <c r="H29" s="30">
        <f>H23/2</f>
        <v>5</v>
      </c>
      <c r="I29" s="97"/>
      <c r="J29" s="97"/>
      <c r="K29" s="30"/>
      <c r="L29" s="30"/>
      <c r="M29" s="30">
        <f>$C$7</f>
        <v>4</v>
      </c>
      <c r="N29" s="47">
        <f t="shared" si="1"/>
        <v>960</v>
      </c>
      <c r="O29" s="53">
        <f t="shared" si="2"/>
        <v>34.559999999999995</v>
      </c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</row>
    <row r="30" spans="2:26" s="21" customFormat="1" ht="18.75" x14ac:dyDescent="0.3">
      <c r="B30" s="46" t="s">
        <v>114</v>
      </c>
      <c r="C30" s="59">
        <f>C21</f>
        <v>1</v>
      </c>
      <c r="D30" s="30">
        <f t="shared" ref="D30:H30" si="4">D21</f>
        <v>6</v>
      </c>
      <c r="E30" s="30">
        <f t="shared" si="4"/>
        <v>6</v>
      </c>
      <c r="F30" s="30">
        <f t="shared" si="4"/>
        <v>1</v>
      </c>
      <c r="G30" s="30">
        <f t="shared" si="4"/>
        <v>1</v>
      </c>
      <c r="H30" s="30">
        <f t="shared" si="4"/>
        <v>3</v>
      </c>
      <c r="I30" s="97"/>
      <c r="J30" s="97"/>
      <c r="K30" s="30"/>
      <c r="L30" s="30"/>
      <c r="M30" s="30">
        <f t="shared" ref="M30:M31" si="5">$C$6</f>
        <v>1</v>
      </c>
      <c r="N30" s="47">
        <f t="shared" si="1"/>
        <v>180</v>
      </c>
      <c r="O30" s="53">
        <f t="shared" si="2"/>
        <v>6.4799999999999995</v>
      </c>
    </row>
    <row r="31" spans="2:26" ht="18.75" x14ac:dyDescent="0.3">
      <c r="B31" s="46" t="s">
        <v>115</v>
      </c>
      <c r="C31" s="59">
        <f>IF($Z$1,0,C21)</f>
        <v>1</v>
      </c>
      <c r="D31" s="30"/>
      <c r="E31" s="30">
        <f>IF($Z$1,0,E21)</f>
        <v>6</v>
      </c>
      <c r="F31" s="30">
        <f>IF($Z$1,0,6)</f>
        <v>6</v>
      </c>
      <c r="G31" s="30">
        <f>IF($Z$1,0,3)</f>
        <v>3</v>
      </c>
      <c r="H31" s="30">
        <f>IF($Z$1,0,3)</f>
        <v>3</v>
      </c>
      <c r="I31" s="97"/>
      <c r="J31" s="97"/>
      <c r="K31" s="30"/>
      <c r="L31" s="30"/>
      <c r="M31" s="30">
        <f t="shared" si="5"/>
        <v>1</v>
      </c>
      <c r="N31" s="47">
        <f t="shared" si="1"/>
        <v>190</v>
      </c>
      <c r="O31" s="53">
        <f t="shared" si="2"/>
        <v>6.84</v>
      </c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</row>
    <row r="32" spans="2:26" s="21" customFormat="1" ht="19.5" thickBot="1" x14ac:dyDescent="0.35">
      <c r="B32" s="57" t="s">
        <v>135</v>
      </c>
      <c r="C32" s="60">
        <v>3</v>
      </c>
      <c r="D32" s="31">
        <v>6</v>
      </c>
      <c r="E32" s="31">
        <v>1</v>
      </c>
      <c r="F32" s="31"/>
      <c r="G32" s="31"/>
      <c r="H32" s="31">
        <v>12</v>
      </c>
      <c r="I32" s="90"/>
      <c r="J32" s="90"/>
      <c r="K32" s="31"/>
      <c r="L32" s="31"/>
      <c r="M32" s="31">
        <f>$C$8*$C$6</f>
        <v>9</v>
      </c>
      <c r="N32" s="54">
        <f t="shared" si="1"/>
        <v>1980</v>
      </c>
      <c r="O32" s="55">
        <f t="shared" si="2"/>
        <v>71.28</v>
      </c>
    </row>
  </sheetData>
  <mergeCells count="29">
    <mergeCell ref="C5:G5"/>
    <mergeCell ref="C19:E19"/>
    <mergeCell ref="F19:H19"/>
    <mergeCell ref="I19:J19"/>
    <mergeCell ref="C6:G6"/>
    <mergeCell ref="C7:G7"/>
    <mergeCell ref="C8:G8"/>
    <mergeCell ref="C9:G9"/>
    <mergeCell ref="I28:J28"/>
    <mergeCell ref="I30:J30"/>
    <mergeCell ref="I21:J21"/>
    <mergeCell ref="I22:J22"/>
    <mergeCell ref="I23:J23"/>
    <mergeCell ref="I32:J32"/>
    <mergeCell ref="L5:O5"/>
    <mergeCell ref="L1:O1"/>
    <mergeCell ref="B1:B2"/>
    <mergeCell ref="N19:O19"/>
    <mergeCell ref="I20:J20"/>
    <mergeCell ref="I26:J26"/>
    <mergeCell ref="I24:J24"/>
    <mergeCell ref="I25:J25"/>
    <mergeCell ref="C2:F2"/>
    <mergeCell ref="G2:J2"/>
    <mergeCell ref="C1:F1"/>
    <mergeCell ref="G1:J1"/>
    <mergeCell ref="I27:J27"/>
    <mergeCell ref="I29:J29"/>
    <mergeCell ref="I31:J31"/>
  </mergeCells>
  <conditionalFormatting sqref="L5:O9">
    <cfRule type="expression" dxfId="16" priority="1">
      <formula>NOT($C$9)</formula>
    </cfRule>
  </conditionalFormatting>
  <dataValidations count="2">
    <dataValidation type="whole" operator="greaterThanOrEqual" allowBlank="1" showInputMessage="1" showErrorMessage="1" errorTitle="Erreur" error="Le nombre de gabarit doit etre &gt;=0" sqref="C8">
      <formula1>0</formula1>
    </dataValidation>
    <dataValidation type="list" showInputMessage="1" showErrorMessage="1" errorTitle="Erreur" error="Pièce en pendulaire ou pas" sqref="C9:G9">
      <formula1>"VRAI,FAUX"</formula1>
    </dataValidation>
  </dataValidations>
  <pageMargins left="0.7" right="0.7" top="0.75" bottom="0.75" header="0.3" footer="0.3"/>
  <pageSetup paperSize="9" scale="53" orientation="portrait" r:id="rId1"/>
  <colBreaks count="1" manualBreakCount="1">
    <brk id="15" max="31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CS_Cliquer">
                <anchor moveWithCells="1" sizeWithCells="1">
                  <from>
                    <xdr:col>1</xdr:col>
                    <xdr:colOff>76200</xdr:colOff>
                    <xdr:row>17</xdr:row>
                    <xdr:rowOff>47625</xdr:rowOff>
                  </from>
                  <to>
                    <xdr:col>1</xdr:col>
                    <xdr:colOff>1514475</xdr:colOff>
                    <xdr:row>18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S175"/>
  <sheetViews>
    <sheetView tabSelected="1" zoomScaleNormal="100" zoomScaleSheetLayoutView="100" workbookViewId="0">
      <selection activeCell="D3" sqref="D3"/>
    </sheetView>
  </sheetViews>
  <sheetFormatPr baseColWidth="10" defaultRowHeight="15" x14ac:dyDescent="0.25"/>
  <cols>
    <col min="1" max="1" width="13.85546875" customWidth="1"/>
    <col min="2" max="2" width="11.42578125" customWidth="1"/>
    <col min="3" max="3" width="18" bestFit="1" customWidth="1"/>
    <col min="4" max="4" width="19.28515625" customWidth="1"/>
    <col min="5" max="5" width="20.42578125" bestFit="1" customWidth="1"/>
    <col min="6" max="6" width="15" bestFit="1" customWidth="1"/>
    <col min="7" max="7" width="0" hidden="1" customWidth="1"/>
    <col min="8" max="8" width="20.140625" bestFit="1" customWidth="1"/>
    <col min="10" max="10" width="17.140625" bestFit="1" customWidth="1"/>
    <col min="11" max="11" width="19.7109375" customWidth="1"/>
    <col min="12" max="12" width="20.7109375" bestFit="1" customWidth="1"/>
    <col min="13" max="13" width="20.28515625" customWidth="1"/>
    <col min="14" max="14" width="11.42578125" hidden="1" customWidth="1"/>
    <col min="16" max="16" width="13.140625" bestFit="1" customWidth="1"/>
  </cols>
  <sheetData>
    <row r="1" spans="1:19" x14ac:dyDescent="0.25">
      <c r="A1" s="80"/>
      <c r="B1" s="81"/>
      <c r="C1" s="80"/>
      <c r="D1" s="80"/>
      <c r="E1" s="80"/>
      <c r="F1" s="80"/>
      <c r="G1" s="80"/>
      <c r="H1" s="80"/>
      <c r="I1" s="81"/>
      <c r="J1" s="80"/>
      <c r="K1" s="80"/>
      <c r="L1" s="80"/>
      <c r="M1" s="80"/>
      <c r="N1" s="80"/>
      <c r="O1" s="80"/>
      <c r="P1" s="80"/>
      <c r="Q1" s="80"/>
    </row>
    <row r="2" spans="1:19" ht="18.75" x14ac:dyDescent="0.3">
      <c r="A2" s="80"/>
      <c r="B2" s="81"/>
      <c r="C2" s="80"/>
      <c r="D2" s="80"/>
      <c r="E2" s="80"/>
      <c r="F2" s="80"/>
      <c r="G2" s="80"/>
      <c r="H2" s="80"/>
      <c r="I2" s="80"/>
      <c r="J2" s="81"/>
      <c r="K2" s="68" t="s">
        <v>152</v>
      </c>
      <c r="L2" s="68" t="s">
        <v>153</v>
      </c>
      <c r="M2" s="68" t="s">
        <v>154</v>
      </c>
      <c r="N2" s="80"/>
      <c r="O2" s="80"/>
      <c r="P2" s="80" t="s">
        <v>163</v>
      </c>
      <c r="Q2" s="63">
        <v>300</v>
      </c>
      <c r="S2" s="89">
        <f>COUNTIF(N11:N500,"x")</f>
        <v>6</v>
      </c>
    </row>
    <row r="3" spans="1:19" ht="21.75" thickBot="1" x14ac:dyDescent="0.4">
      <c r="A3" s="80"/>
      <c r="B3" s="81"/>
      <c r="C3" s="61" t="s">
        <v>144</v>
      </c>
      <c r="D3" s="86" t="s">
        <v>324</v>
      </c>
      <c r="E3" s="82"/>
      <c r="F3" s="80"/>
      <c r="G3" s="80"/>
      <c r="H3" s="80"/>
      <c r="I3" s="61" t="s">
        <v>91</v>
      </c>
      <c r="J3" s="72"/>
      <c r="K3" s="22">
        <f>SUMIF(N11:N18,"x",M11:M18)</f>
        <v>97.807923742656556</v>
      </c>
      <c r="L3" s="22">
        <f>D6*K3</f>
        <v>97.807923742656556</v>
      </c>
      <c r="M3" s="22">
        <f>L3/$D$6</f>
        <v>97.807923742656556</v>
      </c>
      <c r="N3" s="83"/>
      <c r="O3" s="83"/>
      <c r="P3" s="80" t="s">
        <v>103</v>
      </c>
      <c r="Q3" s="84">
        <f>IF(B5&gt;Q2,0.7,1)</f>
        <v>1</v>
      </c>
    </row>
    <row r="4" spans="1:19" ht="21" x14ac:dyDescent="0.35">
      <c r="A4" s="80"/>
      <c r="B4" s="81"/>
      <c r="C4" s="61" t="s">
        <v>49</v>
      </c>
      <c r="D4" s="87">
        <v>70</v>
      </c>
      <c r="E4" s="80"/>
      <c r="F4" s="80"/>
      <c r="G4" s="80"/>
      <c r="H4" s="80"/>
      <c r="I4" s="61" t="s">
        <v>92</v>
      </c>
      <c r="J4" s="72"/>
      <c r="K4" s="22">
        <f>17*COUNTIF(N11:N81,"x")</f>
        <v>102</v>
      </c>
      <c r="L4" s="22">
        <f>K4</f>
        <v>102</v>
      </c>
      <c r="M4" s="22">
        <f>L4/$D$6</f>
        <v>102</v>
      </c>
      <c r="N4" s="80"/>
      <c r="O4" s="80"/>
      <c r="P4" s="80"/>
      <c r="Q4" s="80"/>
    </row>
    <row r="5" spans="1:19" ht="21.75" thickBot="1" x14ac:dyDescent="0.4">
      <c r="A5" s="80"/>
      <c r="B5" s="85">
        <f>VLOOKUP(D5,NuanceExt,3,FALSE)</f>
        <v>190</v>
      </c>
      <c r="C5" s="61" t="s">
        <v>87</v>
      </c>
      <c r="D5" s="88" t="s">
        <v>34</v>
      </c>
      <c r="E5" s="80"/>
      <c r="F5" s="80"/>
      <c r="G5" s="80"/>
      <c r="H5" s="80"/>
      <c r="I5" s="75" t="s">
        <v>155</v>
      </c>
      <c r="J5" s="75"/>
      <c r="K5" s="22">
        <f>K4+K3</f>
        <v>199.80792374265656</v>
      </c>
      <c r="L5" s="22">
        <f>L4+L3</f>
        <v>199.80792374265656</v>
      </c>
      <c r="M5" s="22">
        <f>L5/$D$6</f>
        <v>199.80792374265656</v>
      </c>
      <c r="N5" s="80"/>
      <c r="O5" s="80"/>
      <c r="P5" s="80"/>
      <c r="Q5" s="80"/>
    </row>
    <row r="6" spans="1:19" ht="21.75" thickBot="1" x14ac:dyDescent="0.4">
      <c r="A6" s="80"/>
      <c r="B6" s="81"/>
      <c r="C6" s="61" t="s">
        <v>158</v>
      </c>
      <c r="D6" s="88">
        <v>1</v>
      </c>
      <c r="E6" s="80"/>
      <c r="F6" s="80"/>
      <c r="G6" s="80"/>
      <c r="H6" s="80"/>
      <c r="I6" s="75" t="s">
        <v>156</v>
      </c>
      <c r="J6" s="75"/>
      <c r="K6" s="22">
        <f>CONVERT(K5,"sec","mn")</f>
        <v>3.3301320623776092</v>
      </c>
      <c r="L6" s="22">
        <f>CONVERT(L5,"sec","mn")</f>
        <v>3.3301320623776092</v>
      </c>
      <c r="M6" s="22">
        <f>L6/$D$6</f>
        <v>3.3301320623776092</v>
      </c>
      <c r="N6" s="80"/>
      <c r="O6" s="80"/>
      <c r="P6" s="80"/>
      <c r="Q6" s="80"/>
    </row>
    <row r="7" spans="1:19" ht="18.75" x14ac:dyDescent="0.3">
      <c r="A7" s="80"/>
      <c r="B7" s="81"/>
      <c r="C7" s="80"/>
      <c r="D7" s="80"/>
      <c r="E7" s="80"/>
      <c r="F7" s="80"/>
      <c r="G7" s="80"/>
      <c r="H7" s="80"/>
      <c r="I7" s="75" t="s">
        <v>157</v>
      </c>
      <c r="J7" s="75"/>
      <c r="K7" s="70">
        <f>K6/24</f>
        <v>0.13875550259906705</v>
      </c>
      <c r="L7" s="70">
        <f>L6/24</f>
        <v>0.13875550259906705</v>
      </c>
      <c r="M7" s="70">
        <f>L7/$D$6</f>
        <v>0.13875550259906705</v>
      </c>
      <c r="N7" s="80"/>
      <c r="O7" s="80"/>
      <c r="P7" s="80"/>
      <c r="Q7" s="80"/>
    </row>
    <row r="8" spans="1:19" ht="15.75" thickBot="1" x14ac:dyDescent="0.3">
      <c r="B8" s="71"/>
      <c r="I8" s="71"/>
    </row>
    <row r="9" spans="1:19" ht="39" customHeight="1" x14ac:dyDescent="0.25">
      <c r="B9" s="71"/>
      <c r="C9" s="109" t="s">
        <v>38</v>
      </c>
      <c r="D9" s="111" t="s">
        <v>39</v>
      </c>
      <c r="E9" s="113" t="s">
        <v>141</v>
      </c>
      <c r="F9" s="113" t="s">
        <v>142</v>
      </c>
      <c r="G9" s="111" t="s">
        <v>44</v>
      </c>
      <c r="H9" s="77" t="s">
        <v>84</v>
      </c>
      <c r="I9" s="78" t="s">
        <v>85</v>
      </c>
      <c r="J9" s="77" t="s">
        <v>86</v>
      </c>
      <c r="K9" s="79" t="s">
        <v>164</v>
      </c>
      <c r="L9" s="79" t="s">
        <v>165</v>
      </c>
      <c r="M9" s="107" t="s">
        <v>93</v>
      </c>
    </row>
    <row r="10" spans="1:19" ht="19.5" thickBot="1" x14ac:dyDescent="0.35">
      <c r="B10" s="71"/>
      <c r="C10" s="110"/>
      <c r="D10" s="112"/>
      <c r="E10" s="112"/>
      <c r="F10" s="112"/>
      <c r="G10" s="112"/>
      <c r="H10" s="62" t="s">
        <v>40</v>
      </c>
      <c r="I10" s="73" t="s">
        <v>47</v>
      </c>
      <c r="J10" s="62" t="s">
        <v>48</v>
      </c>
      <c r="K10" s="62" t="s">
        <v>30</v>
      </c>
      <c r="L10" s="62" t="s">
        <v>151</v>
      </c>
      <c r="M10" s="108"/>
    </row>
    <row r="11" spans="1:19" s="63" customFormat="1" x14ac:dyDescent="0.25">
      <c r="A11"/>
      <c r="B11">
        <v>10</v>
      </c>
      <c r="C11" t="s">
        <v>21</v>
      </c>
      <c r="D11" s="140">
        <v>10</v>
      </c>
      <c r="E11">
        <v>70</v>
      </c>
      <c r="F11">
        <v>1</v>
      </c>
      <c r="G11"/>
      <c r="H11">
        <f>VLOOKUP($B$11,PercageExt,4,FALSE) * $Q$3</f>
        <v>90</v>
      </c>
      <c r="I11">
        <f>VLOOKUP($B$11,PercageExt,3,FALSE)</f>
        <v>0.15000000596046448</v>
      </c>
      <c r="J11">
        <f>VLOOKUP($B$11,PercageExt,2,FALSE)</f>
        <v>2</v>
      </c>
      <c r="K11">
        <f>ROUNDDOWN((1000*$H$11)/(PI()*$B$11),0)</f>
        <v>2864</v>
      </c>
      <c r="L11">
        <f>ROUNDDOWN(I11*J11*K11,0)</f>
        <v>859</v>
      </c>
      <c r="M11" s="141">
        <f>((E11*1.1/L11)*F11)*60</f>
        <v>5.3783469150174614</v>
      </c>
      <c r="N11" t="s">
        <v>322</v>
      </c>
      <c r="O11" s="64"/>
    </row>
    <row r="12" spans="1:19" s="63" customFormat="1" x14ac:dyDescent="0.25">
      <c r="A12"/>
      <c r="B12">
        <v>10</v>
      </c>
      <c r="C12" t="s">
        <v>21</v>
      </c>
      <c r="D12" s="140">
        <v>10</v>
      </c>
      <c r="E12">
        <v>70</v>
      </c>
      <c r="F12">
        <v>1</v>
      </c>
      <c r="G12"/>
      <c r="H12">
        <f>VLOOKUP($B$12,PercageExt,4,FALSE) * $Q$3</f>
        <v>90</v>
      </c>
      <c r="I12">
        <f>VLOOKUP($B$12,PercageExt,3,FALSE)</f>
        <v>0.15000000596046448</v>
      </c>
      <c r="J12">
        <f>VLOOKUP($B$12,PercageExt,2,FALSE)</f>
        <v>2</v>
      </c>
      <c r="K12">
        <f>ROUNDDOWN((1000*$H$12)/(PI()*$B$12),0)</f>
        <v>2864</v>
      </c>
      <c r="L12">
        <f>ROUNDDOWN(I12*J12*K12,0)</f>
        <v>859</v>
      </c>
      <c r="M12" s="141">
        <f>((E12*1.1/L12)*F12)*60</f>
        <v>5.3783469150174614</v>
      </c>
      <c r="N12" t="s">
        <v>322</v>
      </c>
    </row>
    <row r="13" spans="1:19" s="63" customFormat="1" x14ac:dyDescent="0.25">
      <c r="A13" t="s">
        <v>267</v>
      </c>
      <c r="B13">
        <v>10</v>
      </c>
      <c r="C13" t="s">
        <v>25</v>
      </c>
      <c r="D13" t="s">
        <v>323</v>
      </c>
      <c r="E13">
        <v>70</v>
      </c>
      <c r="F13">
        <v>1</v>
      </c>
      <c r="G13"/>
      <c r="H13">
        <f>VLOOKUP($A$13,GrainFinitionExt,5,FALSE) * $Q$3</f>
        <v>250</v>
      </c>
      <c r="I13">
        <f>VLOOKUP($A$13,GrainFinitionExt,4,FALSE)</f>
        <v>7.0000000298023224E-2</v>
      </c>
      <c r="J13">
        <f>VLOOKUP($A$13,GrainFinitionExt,3,FALSE)</f>
        <v>1</v>
      </c>
      <c r="K13">
        <f>ROUNDDOWN((1000*$H$13)/(PI()*$B$13),0)</f>
        <v>7957</v>
      </c>
      <c r="L13">
        <f>ROUNDDOWN(I13*J13*K13,0)</f>
        <v>556</v>
      </c>
      <c r="M13" s="141">
        <f>((E13*1.1/L13)*F13)*60</f>
        <v>8.3093525179856123</v>
      </c>
      <c r="N13" t="s">
        <v>322</v>
      </c>
      <c r="Q13" s="65"/>
    </row>
    <row r="14" spans="1:19" s="63" customFormat="1" x14ac:dyDescent="0.25">
      <c r="A14"/>
      <c r="B14">
        <v>42</v>
      </c>
      <c r="C14" t="s">
        <v>21</v>
      </c>
      <c r="D14" s="140">
        <v>42</v>
      </c>
      <c r="E14">
        <v>70</v>
      </c>
      <c r="F14">
        <v>1</v>
      </c>
      <c r="G14"/>
      <c r="H14">
        <f>VLOOKUP($B$14,PercageExt,4,FALSE) * $Q$3</f>
        <v>250</v>
      </c>
      <c r="I14">
        <f>VLOOKUP($B$14,PercageExt,3,FALSE)</f>
        <v>5.000000074505806E-2</v>
      </c>
      <c r="J14">
        <f>VLOOKUP($B$14,PercageExt,2,FALSE)</f>
        <v>2</v>
      </c>
      <c r="K14">
        <f>ROUNDDOWN((1000*$H$14)/(PI()*$B$14),0)</f>
        <v>1894</v>
      </c>
      <c r="L14">
        <f>ROUNDDOWN(I14*J14*K14,0)</f>
        <v>189</v>
      </c>
      <c r="M14" s="141">
        <f>((E14*1.1/L14)*F14)*60</f>
        <v>24.444444444444443</v>
      </c>
      <c r="N14" t="s">
        <v>322</v>
      </c>
    </row>
    <row r="15" spans="1:19" s="63" customFormat="1" x14ac:dyDescent="0.25">
      <c r="A15" t="s">
        <v>244</v>
      </c>
      <c r="B15">
        <f>VLOOKUP($A$15,ChanfreinageExt,2,FALSE)</f>
        <v>37</v>
      </c>
      <c r="C15" t="s">
        <v>26</v>
      </c>
      <c r="D15" s="140" t="s">
        <v>244</v>
      </c>
      <c r="E15">
        <f>10+2.1*$B$15</f>
        <v>87.7</v>
      </c>
      <c r="F15">
        <v>1</v>
      </c>
      <c r="G15"/>
      <c r="H15">
        <f>VLOOKUP($A$15,ChanfreinageExt,5,FALSE) * $Q$3</f>
        <v>150</v>
      </c>
      <c r="I15">
        <f>VLOOKUP($A$15,ChanfreinageExt,4,FALSE)</f>
        <v>0.15000000596046448</v>
      </c>
      <c r="J15">
        <f>VLOOKUP($A$15,ChanfreinageExt,3,FALSE)</f>
        <v>3</v>
      </c>
      <c r="K15">
        <f>ROUNDDOWN((1000*$H$15)/(PI()*$B$15),0)</f>
        <v>1290</v>
      </c>
      <c r="L15">
        <f>ROUNDDOWN(I15*J15*K15,0)</f>
        <v>580</v>
      </c>
      <c r="M15" s="141">
        <f>((E15*1.1/L15)*F15)*60</f>
        <v>9.9796551724137945</v>
      </c>
      <c r="N15" t="s">
        <v>322</v>
      </c>
      <c r="Q15" s="65"/>
    </row>
    <row r="16" spans="1:19" s="63" customFormat="1" x14ac:dyDescent="0.25">
      <c r="A16" t="s">
        <v>247</v>
      </c>
      <c r="B16">
        <f>VLOOKUP($A$16,ChanfreinageExt,2,FALSE)</f>
        <v>53</v>
      </c>
      <c r="C16" t="s">
        <v>26</v>
      </c>
      <c r="D16" s="140" t="s">
        <v>247</v>
      </c>
      <c r="E16">
        <f>70+2.1*$B$16</f>
        <v>181.3</v>
      </c>
      <c r="F16">
        <v>2</v>
      </c>
      <c r="G16"/>
      <c r="H16">
        <f>VLOOKUP($A$16,ChanfreinageExt,5,FALSE) * $Q$3</f>
        <v>150</v>
      </c>
      <c r="I16">
        <f>VLOOKUP($A$16,ChanfreinageExt,4,FALSE)</f>
        <v>0.15000000596046448</v>
      </c>
      <c r="J16">
        <f>VLOOKUP($A$16,ChanfreinageExt,3,FALSE)</f>
        <v>4</v>
      </c>
      <c r="K16">
        <f>ROUNDDOWN((1000*$H$16)/(PI()*$B$16),0)</f>
        <v>900</v>
      </c>
      <c r="L16">
        <f>ROUNDDOWN(I16*J16*K16,0)</f>
        <v>540</v>
      </c>
      <c r="M16" s="141">
        <f>((E16*1.1/L16)*F16)*60</f>
        <v>44.317777777777785</v>
      </c>
      <c r="N16" t="s">
        <v>322</v>
      </c>
      <c r="Q16" s="66"/>
    </row>
    <row r="17" spans="1:17" s="63" customFormat="1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Q17" s="67"/>
    </row>
    <row r="18" spans="1:17" s="63" customFormat="1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</row>
    <row r="19" spans="1:17" s="63" customFormat="1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</row>
    <row r="20" spans="1:17" s="63" customFormat="1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</row>
    <row r="21" spans="1:17" s="63" customFormat="1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</row>
    <row r="22" spans="1:17" s="63" customFormat="1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</row>
    <row r="23" spans="1:17" s="63" customFormat="1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</row>
    <row r="24" spans="1:17" s="63" customFormat="1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</row>
    <row r="25" spans="1:17" s="63" customFormat="1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</row>
    <row r="26" spans="1:17" s="63" customFormat="1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</row>
    <row r="27" spans="1:17" s="63" customFormat="1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</row>
    <row r="28" spans="1:17" s="63" customFormat="1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</row>
    <row r="29" spans="1:17" s="63" customFormat="1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</row>
    <row r="30" spans="1:17" s="63" customFormat="1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</row>
    <row r="31" spans="1:17" s="63" customFormat="1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</row>
    <row r="32" spans="1:17" s="63" customFormat="1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 s="65"/>
    </row>
    <row r="33" spans="1:15" s="63" customFormat="1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 s="65"/>
    </row>
    <row r="34" spans="1:15" s="63" customFormat="1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 s="66"/>
    </row>
    <row r="35" spans="1:15" s="63" customFormat="1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</row>
    <row r="36" spans="1:15" s="63" customFormat="1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</row>
    <row r="37" spans="1:15" s="63" customFormat="1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</row>
    <row r="38" spans="1:15" s="63" customFormat="1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</row>
    <row r="39" spans="1:15" s="63" customFormat="1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</row>
    <row r="40" spans="1:15" s="63" customFormat="1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</row>
    <row r="41" spans="1:15" s="63" customFormat="1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</row>
    <row r="42" spans="1:15" s="63" customFormat="1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</row>
    <row r="43" spans="1:15" s="63" customFormat="1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</row>
    <row r="44" spans="1:15" s="63" customFormat="1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</row>
    <row r="45" spans="1:15" s="63" customFormat="1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</row>
    <row r="46" spans="1:15" s="63" customFormat="1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</row>
    <row r="47" spans="1:15" s="63" customFormat="1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</row>
    <row r="48" spans="1:15" s="63" customFormat="1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</row>
    <row r="49" spans="1:14" s="63" customFormat="1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</row>
    <row r="50" spans="1:14" s="63" customFormat="1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</row>
    <row r="51" spans="1:14" s="63" customForma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</row>
    <row r="52" spans="1:14" s="63" customFormat="1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</row>
    <row r="53" spans="1:14" s="63" customFormat="1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</row>
    <row r="54" spans="1:14" s="63" customFormat="1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</row>
    <row r="55" spans="1:14" s="63" customFormat="1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</row>
    <row r="56" spans="1:14" s="63" customFormat="1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</row>
    <row r="57" spans="1:14" s="63" customFormat="1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</row>
    <row r="58" spans="1:14" s="63" customFormat="1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</row>
    <row r="59" spans="1:14" s="63" customFormat="1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</row>
    <row r="60" spans="1:14" s="63" customFormat="1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</row>
    <row r="61" spans="1:14" s="63" customFormat="1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</row>
    <row r="62" spans="1:14" s="63" customFormat="1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</row>
    <row r="63" spans="1:14" s="63" customFormat="1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</row>
    <row r="64" spans="1:14" s="63" customFormat="1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</row>
    <row r="65" spans="1:14" s="63" customFormat="1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</row>
    <row r="66" spans="1:14" s="63" customFormat="1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</row>
    <row r="67" spans="1:14" s="63" customFormat="1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</row>
    <row r="68" spans="1:14" s="63" customFormat="1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</row>
    <row r="69" spans="1:14" s="63" customFormat="1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</row>
    <row r="70" spans="1:14" s="63" customFormat="1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</row>
    <row r="71" spans="1:14" s="63" customFormat="1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</row>
    <row r="72" spans="1:14" s="63" customFormat="1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</row>
    <row r="73" spans="1:14" s="63" customFormat="1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</row>
    <row r="74" spans="1:14" s="63" customFormat="1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</row>
    <row r="75" spans="1:14" s="63" customFormat="1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</row>
    <row r="76" spans="1:14" s="63" customFormat="1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</row>
    <row r="77" spans="1:14" s="63" customFormat="1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</row>
    <row r="78" spans="1:14" s="63" customFormat="1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</row>
    <row r="79" spans="1:14" s="63" customFormat="1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</row>
    <row r="80" spans="1:14" s="63" customFormat="1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</row>
    <row r="81" spans="1:14" s="63" customForma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</row>
    <row r="82" spans="1:14" s="63" customFormat="1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</row>
    <row r="83" spans="1:14" s="63" customFormat="1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</row>
    <row r="84" spans="1:14" s="63" customFormat="1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</row>
    <row r="85" spans="1:14" s="63" customFormat="1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</row>
    <row r="86" spans="1:14" s="63" customFormat="1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</row>
    <row r="87" spans="1:14" s="63" customFormat="1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</row>
    <row r="88" spans="1:14" s="63" customFormat="1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</row>
    <row r="89" spans="1:14" s="63" customFormat="1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</row>
    <row r="90" spans="1:14" s="63" customFormat="1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</row>
    <row r="91" spans="1:14" s="63" customFormat="1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</row>
    <row r="92" spans="1:14" s="63" customFormat="1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</row>
    <row r="93" spans="1:14" s="63" customFormat="1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</row>
    <row r="94" spans="1:14" s="63" customFormat="1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</row>
    <row r="95" spans="1:14" s="63" customFormat="1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</row>
    <row r="96" spans="1:14" s="63" customFormat="1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</row>
    <row r="97" spans="1:14" s="63" customFormat="1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</row>
    <row r="98" spans="1:14" s="63" customFormat="1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</row>
    <row r="99" spans="1:14" s="63" customFormat="1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</row>
    <row r="100" spans="1:14" s="63" customFormat="1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</row>
    <row r="101" spans="1:14" s="63" customFormat="1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</row>
    <row r="102" spans="1:14" s="63" customFormat="1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</row>
    <row r="103" spans="1:14" s="63" customFormat="1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</row>
    <row r="104" spans="1:14" s="63" customFormat="1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</row>
    <row r="105" spans="1:14" s="63" customFormat="1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</row>
    <row r="106" spans="1:14" s="63" customFormat="1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</row>
    <row r="107" spans="1:14" s="63" customFormat="1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</row>
    <row r="108" spans="1:14" s="63" customFormat="1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</row>
    <row r="109" spans="1:14" s="63" customFormat="1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</row>
    <row r="110" spans="1:14" s="63" customFormat="1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</row>
    <row r="111" spans="1:14" s="63" customFormat="1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</row>
    <row r="112" spans="1:14" s="63" customFormat="1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</row>
    <row r="113" spans="1:14" s="63" customFormat="1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</row>
    <row r="114" spans="1:14" s="63" customFormat="1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</row>
    <row r="115" spans="1:14" s="63" customFormat="1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</row>
    <row r="116" spans="1:14" s="63" customFormat="1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</row>
    <row r="117" spans="1:14" s="63" customFormat="1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</row>
    <row r="118" spans="1:14" s="63" customFormat="1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</row>
    <row r="119" spans="1:14" s="63" customFormat="1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</row>
    <row r="120" spans="1:14" s="63" customFormat="1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</row>
    <row r="121" spans="1:14" s="63" customFormat="1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</row>
    <row r="122" spans="1:14" s="63" customFormat="1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</row>
    <row r="123" spans="1:14" s="63" customFormat="1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</row>
    <row r="124" spans="1:14" s="63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</row>
    <row r="125" spans="1:14" s="63" customFormat="1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</row>
    <row r="126" spans="1:14" s="63" customFormat="1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</row>
    <row r="127" spans="1:14" s="63" customFormat="1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</row>
    <row r="128" spans="1:14" s="63" customFormat="1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</row>
    <row r="129" spans="1:14" s="63" customFormat="1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</row>
    <row r="130" spans="1:14" s="63" customFormat="1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</row>
    <row r="131" spans="1:14" s="63" customForma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</row>
    <row r="132" spans="1:14" s="63" customFormat="1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</row>
    <row r="133" spans="1:14" s="63" customForma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</row>
    <row r="134" spans="1:14" s="63" customForma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</row>
    <row r="135" spans="1:14" s="63" customFormat="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</row>
    <row r="136" spans="1:14" s="63" customFormat="1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</row>
    <row r="137" spans="1:14" s="63" customForma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</row>
    <row r="138" spans="1:14" s="63" customFormat="1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</row>
    <row r="139" spans="1:14" s="63" customFormat="1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</row>
    <row r="140" spans="1:14" s="63" customFormat="1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</row>
    <row r="141" spans="1:14" s="63" customFormat="1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</row>
    <row r="142" spans="1:14" s="63" customFormat="1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</row>
    <row r="143" spans="1:14" s="63" customFormat="1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</row>
    <row r="144" spans="1:14" s="63" customFormat="1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</row>
    <row r="145" spans="1:14" s="63" customFormat="1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</row>
    <row r="146" spans="1:14" s="63" customFormat="1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</row>
    <row r="147" spans="1:14" s="63" customFormat="1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</row>
    <row r="148" spans="1:14" s="63" customFormat="1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</row>
    <row r="149" spans="1:14" s="63" customFormat="1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</row>
    <row r="150" spans="1:14" s="63" customFormat="1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</row>
    <row r="151" spans="1:14" s="63" customFormat="1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</row>
    <row r="152" spans="1:14" s="63" customFormat="1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</row>
    <row r="153" spans="1:14" s="63" customFormat="1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</row>
    <row r="154" spans="1:14" s="63" customFormat="1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</row>
    <row r="155" spans="1:14" s="63" customFormat="1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</row>
    <row r="156" spans="1:14" s="63" customFormat="1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</row>
    <row r="157" spans="1:14" s="63" customFormat="1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</row>
    <row r="158" spans="1:14" s="63" customFormat="1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</row>
    <row r="159" spans="1:14" s="63" customFormat="1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</row>
    <row r="160" spans="1:14" s="63" customFormat="1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</row>
    <row r="161" spans="1:14" s="63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</row>
    <row r="162" spans="1:14" s="63" customFormat="1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</row>
    <row r="163" spans="1:14" s="63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</row>
    <row r="164" spans="1:14" s="63" customFormat="1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</row>
    <row r="165" spans="1:14" s="63" customFormat="1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</row>
    <row r="166" spans="1:14" s="63" customFormat="1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</row>
    <row r="167" spans="1:14" s="63" customFormat="1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</row>
    <row r="168" spans="1:14" s="63" customFormat="1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</row>
    <row r="169" spans="1:14" s="63" customFormat="1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</row>
    <row r="170" spans="1:14" s="63" customFormat="1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</row>
    <row r="171" spans="1:14" s="63" customForma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</row>
    <row r="172" spans="1:14" s="63" customFormat="1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</row>
    <row r="173" spans="1:14" s="63" customForma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</row>
    <row r="174" spans="1:14" s="63" customFormat="1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</row>
    <row r="175" spans="1:14" s="63" customFormat="1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</row>
  </sheetData>
  <sheetProtection formatCells="0"/>
  <mergeCells count="6">
    <mergeCell ref="M9:M10"/>
    <mergeCell ref="C9:C10"/>
    <mergeCell ref="D9:D10"/>
    <mergeCell ref="E9:E10"/>
    <mergeCell ref="F9:F10"/>
    <mergeCell ref="G9:G10"/>
  </mergeCells>
  <dataValidations count="9">
    <dataValidation type="list" allowBlank="1" showInputMessage="1" showErrorMessage="1" errorTitle="Erreur" error="Vous devez choisir une opération dans la liste" sqref="O35 Q12 N6">
      <formula1>Operations</formula1>
    </dataValidation>
    <dataValidation type="list" allowBlank="1" showInputMessage="1" showErrorMessage="1" sqref="D5">
      <formula1>Nuance</formula1>
    </dataValidation>
    <dataValidation type="list" allowBlank="1" showInputMessage="1" showErrorMessage="1" errorTitle="Erreur" error="Vous devez choisir une opération dans la liste" sqref="C11">
      <formula1>Operations</formula1>
    </dataValidation>
    <dataValidation type="list" allowBlank="1" showInputMessage="1" showErrorMessage="1" errorTitle="Erreur" error="Vous devez choisir une opération dans la liste" sqref="C12">
      <formula1>Operations</formula1>
    </dataValidation>
    <dataValidation type="list" allowBlank="1" showInputMessage="1" showErrorMessage="1" errorTitle="Erreur" error="Vous devez choisir une opération dans la liste" sqref="C13">
      <formula1>Operations</formula1>
    </dataValidation>
    <dataValidation type="list" allowBlank="1" showInputMessage="1" showErrorMessage="1" errorTitle="Erreur" error="Vous devez choisir une opération dans la liste" sqref="C14">
      <formula1>Operations</formula1>
    </dataValidation>
    <dataValidation type="list" allowBlank="1" showInputMessage="1" showErrorMessage="1" errorTitle="Erreur" error="Vous devez choisir une opération dans la liste" sqref="C15">
      <formula1>Operations</formula1>
    </dataValidation>
    <dataValidation type="list" allowBlank="1" showInputMessage="1" showErrorMessage="1" errorTitle="Erreur" error="Vous devez choisir une opération dans la liste" sqref="C16">
      <formula1>Operations</formula1>
    </dataValidation>
    <dataValidation type="list" allowBlank="1" showInputMessage="1" showErrorMessage="1" errorTitle="Erreur" error="Vous devez choisir une opération dans la liste" sqref="C17">
      <formula1>Operations</formula1>
    </dataValidation>
  </dataValidations>
  <pageMargins left="0.7" right="0.7" top="0.75" bottom="0.75" header="0.3" footer="0.3"/>
  <pageSetup paperSize="9" scale="6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Feuil1.Bouton3_Cliquer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552450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aveCTT_Cliquer">
                <anchor moveWithCells="1" sizeWithCells="1">
                  <from>
                    <xdr:col>2</xdr:col>
                    <xdr:colOff>561975</xdr:colOff>
                    <xdr:row>0</xdr:row>
                    <xdr:rowOff>0</xdr:rowOff>
                  </from>
                  <to>
                    <xdr:col>3</xdr:col>
                    <xdr:colOff>685800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EF59"/>
  <sheetViews>
    <sheetView workbookViewId="0">
      <selection activeCell="BG13" sqref="BG13"/>
    </sheetView>
  </sheetViews>
  <sheetFormatPr baseColWidth="10" defaultRowHeight="15" x14ac:dyDescent="0.25"/>
  <cols>
    <col min="1" max="1" width="12.85546875" bestFit="1" customWidth="1"/>
    <col min="2" max="2" width="12.85546875" customWidth="1"/>
    <col min="3" max="5" width="12.85546875" hidden="1" customWidth="1"/>
    <col min="6" max="6" width="19" hidden="1" customWidth="1"/>
    <col min="7" max="7" width="19" style="21" hidden="1" customWidth="1"/>
    <col min="8" max="9" width="11.42578125" hidden="1" customWidth="1"/>
    <col min="10" max="10" width="17.5703125" hidden="1" customWidth="1"/>
    <col min="11" max="11" width="12.140625" hidden="1" customWidth="1"/>
    <col min="12" max="12" width="7.28515625" hidden="1" customWidth="1"/>
    <col min="13" max="13" width="8" hidden="1" customWidth="1"/>
    <col min="14" max="14" width="11.42578125" hidden="1" customWidth="1"/>
    <col min="15" max="15" width="12.7109375" hidden="1" customWidth="1"/>
    <col min="16" max="16" width="11.42578125" style="17" hidden="1" customWidth="1"/>
    <col min="17" max="17" width="11.42578125" hidden="1" customWidth="1"/>
    <col min="18" max="18" width="11.42578125" style="21" hidden="1" customWidth="1"/>
    <col min="19" max="19" width="14.140625" hidden="1" customWidth="1"/>
    <col min="20" max="20" width="20.85546875" hidden="1" customWidth="1"/>
    <col min="21" max="24" width="11.42578125" hidden="1" customWidth="1"/>
    <col min="25" max="25" width="12.42578125" hidden="1" customWidth="1"/>
    <col min="26" max="28" width="11.42578125" hidden="1" customWidth="1"/>
    <col min="29" max="29" width="13" hidden="1" customWidth="1"/>
    <col min="30" max="30" width="11.85546875" hidden="1" customWidth="1"/>
    <col min="31" max="33" width="11.42578125" hidden="1" customWidth="1"/>
    <col min="34" max="34" width="12.85546875" hidden="1" customWidth="1"/>
    <col min="35" max="37" width="11.42578125" hidden="1" customWidth="1"/>
    <col min="38" max="38" width="12.42578125" hidden="1" customWidth="1"/>
    <col min="39" max="39" width="11.42578125" hidden="1" customWidth="1"/>
    <col min="40" max="40" width="18.5703125" hidden="1" customWidth="1"/>
    <col min="41" max="43" width="11.42578125" hidden="1" customWidth="1"/>
    <col min="44" max="44" width="12.42578125" hidden="1" customWidth="1"/>
    <col min="45" max="45" width="11.42578125" hidden="1" customWidth="1"/>
    <col min="46" max="46" width="18.5703125" hidden="1" customWidth="1"/>
    <col min="47" max="49" width="11.42578125" hidden="1" customWidth="1"/>
    <col min="50" max="50" width="12.42578125" hidden="1" customWidth="1"/>
    <col min="51" max="54" width="11.42578125" hidden="1" customWidth="1"/>
    <col min="55" max="55" width="12.42578125" hidden="1" customWidth="1"/>
    <col min="56" max="56" width="11.42578125" hidden="1" customWidth="1"/>
    <col min="57" max="57" width="9.85546875" style="21" customWidth="1"/>
    <col min="58" max="58" width="10" style="21" customWidth="1"/>
    <col min="59" max="59" width="9.28515625" style="21" customWidth="1"/>
    <col min="60" max="60" width="15.85546875" style="21" customWidth="1"/>
    <col min="61" max="62" width="13.28515625" style="21" customWidth="1"/>
    <col min="63" max="63" width="14.7109375" style="21" customWidth="1"/>
    <col min="64" max="64" width="15.140625" style="21" customWidth="1"/>
    <col min="65" max="65" width="10" style="21" customWidth="1"/>
    <col min="66" max="66" width="9.28515625" style="21" customWidth="1"/>
    <col min="67" max="67" width="15.85546875" style="21" customWidth="1"/>
    <col min="68" max="68" width="13.28515625" customWidth="1"/>
    <col min="69" max="69" width="13.28515625" style="21" customWidth="1"/>
    <col min="70" max="70" width="11.140625" customWidth="1"/>
    <col min="71" max="71" width="9.28515625" customWidth="1"/>
    <col min="72" max="72" width="5.28515625" customWidth="1"/>
    <col min="73" max="73" width="12" customWidth="1"/>
    <col min="74" max="74" width="13.28515625" customWidth="1"/>
    <col min="75" max="75" width="6" customWidth="1"/>
    <col min="76" max="76" width="14.85546875" customWidth="1"/>
    <col min="77" max="77" width="11" customWidth="1"/>
    <col min="79" max="79" width="9.28515625" customWidth="1"/>
    <col min="80" max="80" width="5.28515625" customWidth="1"/>
    <col min="81" max="81" width="7.42578125" customWidth="1"/>
    <col min="82" max="82" width="13.28515625" customWidth="1"/>
    <col min="83" max="83" width="6" customWidth="1"/>
    <col min="84" max="84" width="7" customWidth="1"/>
    <col min="85" max="85" width="11" customWidth="1"/>
    <col min="86" max="86" width="8" customWidth="1"/>
    <col min="87" max="87" width="11.140625" style="21" customWidth="1"/>
    <col min="88" max="88" width="8.140625" customWidth="1"/>
    <col min="89" max="89" width="11.140625" customWidth="1"/>
    <col min="90" max="90" width="9.28515625" customWidth="1"/>
    <col min="91" max="91" width="5.28515625" customWidth="1"/>
    <col min="92" max="92" width="7.42578125" customWidth="1"/>
    <col min="93" max="93" width="13.28515625" customWidth="1"/>
    <col min="94" max="94" width="6" customWidth="1"/>
    <col min="95" max="95" width="13" customWidth="1"/>
    <col min="96" max="96" width="11" customWidth="1"/>
    <col min="97" max="97" width="3.7109375" style="21" customWidth="1"/>
    <col min="98" max="98" width="5" style="21" customWidth="1"/>
    <col min="99" max="99" width="5.28515625" style="21" customWidth="1"/>
    <col min="101" max="101" width="9.28515625" customWidth="1"/>
    <col min="102" max="102" width="5.28515625" customWidth="1"/>
    <col min="103" max="103" width="12" customWidth="1"/>
    <col min="104" max="104" width="13.28515625" customWidth="1"/>
    <col min="105" max="105" width="6" customWidth="1"/>
    <col min="106" max="106" width="16.140625" customWidth="1"/>
    <col min="107" max="107" width="11" customWidth="1"/>
    <col min="108" max="108" width="11.140625" customWidth="1"/>
    <col min="110" max="110" width="11.42578125" customWidth="1"/>
    <col min="111" max="111" width="7.42578125" customWidth="1"/>
    <col min="112" max="112" width="12.140625" customWidth="1"/>
    <col min="113" max="113" width="15.42578125" customWidth="1"/>
    <col min="114" max="114" width="8.140625" customWidth="1"/>
    <col min="115" max="115" width="16" customWidth="1"/>
    <col min="116" max="116" width="13.140625" customWidth="1"/>
    <col min="117" max="117" width="13.28515625" customWidth="1"/>
    <col min="118" max="118" width="14.85546875" customWidth="1"/>
    <col min="120" max="120" width="11.140625" customWidth="1"/>
    <col min="121" max="121" width="9.28515625" customWidth="1"/>
    <col min="122" max="122" width="5.28515625" style="71" customWidth="1"/>
    <col min="123" max="123" width="7.42578125" style="71" customWidth="1"/>
    <col min="124" max="124" width="13.28515625" customWidth="1"/>
    <col min="125" max="125" width="6" customWidth="1"/>
    <col min="126" max="126" width="18.85546875" customWidth="1"/>
    <col min="127" max="127" width="11" customWidth="1"/>
    <col min="129" max="129" width="13.28515625" customWidth="1"/>
    <col min="130" max="130" width="11.42578125" customWidth="1"/>
    <col min="131" max="131" width="7.42578125" customWidth="1"/>
    <col min="132" max="132" width="12.140625" customWidth="1"/>
    <col min="133" max="133" width="15.42578125" customWidth="1"/>
    <col min="134" max="134" width="8.140625" customWidth="1"/>
    <col min="135" max="135" width="15.5703125" customWidth="1"/>
    <col min="136" max="136" width="16" customWidth="1"/>
  </cols>
  <sheetData>
    <row r="1" spans="1:136" ht="15.75" thickBot="1" x14ac:dyDescent="0.3">
      <c r="I1" s="115" t="s">
        <v>21</v>
      </c>
      <c r="J1" s="115"/>
      <c r="K1" s="115"/>
      <c r="L1" s="115"/>
      <c r="M1" s="115"/>
      <c r="O1" s="114" t="s">
        <v>28</v>
      </c>
      <c r="P1" s="114"/>
      <c r="Q1" s="114"/>
      <c r="R1" s="74"/>
      <c r="S1" s="114" t="s">
        <v>43</v>
      </c>
      <c r="T1" s="114"/>
      <c r="U1" s="114"/>
      <c r="V1" s="18"/>
      <c r="W1" s="114" t="s">
        <v>21</v>
      </c>
      <c r="X1" s="114"/>
      <c r="Y1" s="114"/>
      <c r="Z1" s="114"/>
      <c r="AB1" s="114" t="s">
        <v>22</v>
      </c>
      <c r="AC1" s="114"/>
      <c r="AD1" s="114"/>
      <c r="AE1" s="114"/>
      <c r="AF1" s="114"/>
      <c r="AG1" s="114"/>
      <c r="AH1" s="114"/>
      <c r="AJ1" s="114" t="s">
        <v>23</v>
      </c>
      <c r="AK1" s="114"/>
      <c r="AL1" s="114"/>
      <c r="AM1" s="114"/>
      <c r="AN1" s="114"/>
      <c r="AP1" s="114" t="s">
        <v>24</v>
      </c>
      <c r="AQ1" s="114"/>
      <c r="AR1" s="114"/>
      <c r="AS1" s="114"/>
      <c r="AT1" s="114"/>
      <c r="AV1" s="114" t="s">
        <v>25</v>
      </c>
      <c r="AW1" s="114"/>
      <c r="AX1" s="114"/>
      <c r="AY1" s="114"/>
      <c r="BA1" s="114" t="s">
        <v>26</v>
      </c>
      <c r="BB1" s="114"/>
      <c r="BC1" s="114"/>
      <c r="BD1" s="114"/>
      <c r="BE1" s="76"/>
      <c r="BF1" s="76"/>
      <c r="BG1" s="76"/>
      <c r="BH1" s="76"/>
      <c r="BI1" s="74"/>
      <c r="BJ1" s="76"/>
      <c r="BK1" s="74" t="s">
        <v>162</v>
      </c>
      <c r="BL1" s="74"/>
      <c r="BM1" s="74"/>
      <c r="BN1" s="74"/>
      <c r="BO1" s="74"/>
      <c r="BR1" t="s">
        <v>21</v>
      </c>
      <c r="CA1" t="s">
        <v>22</v>
      </c>
      <c r="CK1" t="s">
        <v>159</v>
      </c>
      <c r="CM1">
        <f>MIN(Tableau_GrainFinition[mini])</f>
        <v>9.75</v>
      </c>
      <c r="CN1">
        <f>MAX(Tableau_GrainFinition[maxi])</f>
        <v>164</v>
      </c>
      <c r="CW1" t="s">
        <v>160</v>
      </c>
      <c r="DF1" t="s">
        <v>161</v>
      </c>
      <c r="DP1" t="s">
        <v>26</v>
      </c>
      <c r="DY1" t="s">
        <v>23</v>
      </c>
    </row>
    <row r="2" spans="1:136" ht="15.75" thickBot="1" x14ac:dyDescent="0.3">
      <c r="A2" t="s">
        <v>27</v>
      </c>
      <c r="C2" t="s">
        <v>37</v>
      </c>
      <c r="D2" t="s">
        <v>87</v>
      </c>
      <c r="F2" t="s">
        <v>43</v>
      </c>
      <c r="I2" s="119" t="s">
        <v>0</v>
      </c>
      <c r="J2" s="1" t="s">
        <v>1</v>
      </c>
      <c r="K2" s="121" t="s">
        <v>2</v>
      </c>
      <c r="L2" s="122"/>
      <c r="M2" s="123"/>
      <c r="O2" t="s">
        <v>41</v>
      </c>
      <c r="P2" s="17" t="s">
        <v>42</v>
      </c>
      <c r="Q2" t="s">
        <v>87</v>
      </c>
      <c r="S2" t="s">
        <v>3</v>
      </c>
      <c r="T2" t="s">
        <v>4</v>
      </c>
      <c r="U2" t="s">
        <v>5</v>
      </c>
      <c r="W2" t="s">
        <v>77</v>
      </c>
      <c r="X2" t="s">
        <v>79</v>
      </c>
      <c r="Y2" t="s">
        <v>80</v>
      </c>
      <c r="Z2" t="s">
        <v>78</v>
      </c>
      <c r="AB2" t="s">
        <v>51</v>
      </c>
      <c r="AC2" t="s">
        <v>75</v>
      </c>
      <c r="AD2" t="s">
        <v>76</v>
      </c>
      <c r="AE2" t="s">
        <v>40</v>
      </c>
      <c r="AF2" t="s">
        <v>52</v>
      </c>
      <c r="AG2" t="s">
        <v>89</v>
      </c>
      <c r="AH2" t="s">
        <v>90</v>
      </c>
      <c r="AJ2" t="s">
        <v>77</v>
      </c>
      <c r="AK2" t="s">
        <v>79</v>
      </c>
      <c r="AL2" t="s">
        <v>80</v>
      </c>
      <c r="AM2" t="s">
        <v>78</v>
      </c>
      <c r="AN2" t="s">
        <v>81</v>
      </c>
      <c r="AP2" t="s">
        <v>77</v>
      </c>
      <c r="AQ2" t="s">
        <v>82</v>
      </c>
      <c r="AR2" t="s">
        <v>80</v>
      </c>
      <c r="AS2" t="s">
        <v>78</v>
      </c>
      <c r="AT2" t="s">
        <v>81</v>
      </c>
      <c r="AV2" t="s">
        <v>88</v>
      </c>
      <c r="AW2" t="s">
        <v>82</v>
      </c>
      <c r="AX2" t="s">
        <v>80</v>
      </c>
      <c r="AY2" t="s">
        <v>78</v>
      </c>
      <c r="BA2" t="s">
        <v>77</v>
      </c>
      <c r="BB2" t="s">
        <v>82</v>
      </c>
      <c r="BC2" t="s">
        <v>80</v>
      </c>
      <c r="BD2" t="s">
        <v>78</v>
      </c>
      <c r="BE2" s="21" t="s">
        <v>87</v>
      </c>
      <c r="BF2" s="21" t="s">
        <v>181</v>
      </c>
      <c r="BG2" s="21" t="s">
        <v>182</v>
      </c>
      <c r="BH2" s="21" t="s">
        <v>183</v>
      </c>
      <c r="BI2" s="21" t="s">
        <v>146</v>
      </c>
      <c r="BK2" s="21" t="s">
        <v>190</v>
      </c>
      <c r="BL2" s="21" t="s">
        <v>191</v>
      </c>
      <c r="BM2" s="21" t="s">
        <v>181</v>
      </c>
      <c r="BN2" s="21" t="s">
        <v>182</v>
      </c>
      <c r="BO2" s="21" t="s">
        <v>183</v>
      </c>
      <c r="BP2" t="s">
        <v>146</v>
      </c>
      <c r="BR2" t="s">
        <v>146</v>
      </c>
      <c r="BS2" t="s">
        <v>166</v>
      </c>
      <c r="BT2" t="s">
        <v>167</v>
      </c>
      <c r="BU2" t="s">
        <v>85</v>
      </c>
      <c r="BV2" t="s">
        <v>168</v>
      </c>
      <c r="BW2" t="s">
        <v>169</v>
      </c>
      <c r="BX2" t="s">
        <v>170</v>
      </c>
      <c r="BY2" t="s">
        <v>243</v>
      </c>
      <c r="CA2" t="s">
        <v>166</v>
      </c>
      <c r="CB2" t="s">
        <v>167</v>
      </c>
      <c r="CC2" t="s">
        <v>85</v>
      </c>
      <c r="CD2" t="s">
        <v>168</v>
      </c>
      <c r="CE2" t="s">
        <v>169</v>
      </c>
      <c r="CF2" t="s">
        <v>170</v>
      </c>
      <c r="CG2" t="s">
        <v>243</v>
      </c>
      <c r="CH2" t="s">
        <v>21</v>
      </c>
      <c r="CI2" s="21" t="s">
        <v>146</v>
      </c>
      <c r="CK2" t="s">
        <v>146</v>
      </c>
      <c r="CL2" t="s">
        <v>166</v>
      </c>
      <c r="CM2" t="s">
        <v>167</v>
      </c>
      <c r="CN2" t="s">
        <v>85</v>
      </c>
      <c r="CO2" t="s">
        <v>168</v>
      </c>
      <c r="CP2" t="s">
        <v>169</v>
      </c>
      <c r="CQ2" t="s">
        <v>170</v>
      </c>
      <c r="CR2" t="s">
        <v>243</v>
      </c>
      <c r="CS2" s="21" t="s">
        <v>259</v>
      </c>
      <c r="CT2" s="21" t="s">
        <v>260</v>
      </c>
      <c r="CU2" s="21" t="s">
        <v>261</v>
      </c>
      <c r="CW2" t="s">
        <v>166</v>
      </c>
      <c r="CX2" t="s">
        <v>167</v>
      </c>
      <c r="CY2" t="s">
        <v>85</v>
      </c>
      <c r="CZ2" t="s">
        <v>168</v>
      </c>
      <c r="DA2" t="s">
        <v>169</v>
      </c>
      <c r="DB2" t="s">
        <v>170</v>
      </c>
      <c r="DC2" t="s">
        <v>243</v>
      </c>
      <c r="DD2" t="s">
        <v>146</v>
      </c>
      <c r="DF2" t="s">
        <v>166</v>
      </c>
      <c r="DG2" t="s">
        <v>167</v>
      </c>
      <c r="DH2" t="s">
        <v>85</v>
      </c>
      <c r="DI2" t="s">
        <v>168</v>
      </c>
      <c r="DJ2" t="s">
        <v>169</v>
      </c>
      <c r="DK2" t="s">
        <v>170</v>
      </c>
      <c r="DL2" t="s">
        <v>243</v>
      </c>
      <c r="DM2" t="s">
        <v>146</v>
      </c>
      <c r="DN2" t="s">
        <v>251</v>
      </c>
      <c r="DP2" t="s">
        <v>146</v>
      </c>
      <c r="DQ2" t="s">
        <v>166</v>
      </c>
      <c r="DR2" s="71" t="s">
        <v>167</v>
      </c>
      <c r="DS2" s="71" t="s">
        <v>85</v>
      </c>
      <c r="DT2" t="s">
        <v>168</v>
      </c>
      <c r="DU2" t="s">
        <v>169</v>
      </c>
      <c r="DV2" t="s">
        <v>170</v>
      </c>
      <c r="DW2" t="s">
        <v>243</v>
      </c>
      <c r="DY2" t="s">
        <v>146</v>
      </c>
      <c r="DZ2" t="s">
        <v>166</v>
      </c>
      <c r="EA2" t="s">
        <v>167</v>
      </c>
      <c r="EB2" t="s">
        <v>85</v>
      </c>
      <c r="EC2" t="s">
        <v>168</v>
      </c>
      <c r="ED2" t="s">
        <v>169</v>
      </c>
      <c r="EE2" t="s">
        <v>170</v>
      </c>
      <c r="EF2" t="s">
        <v>171</v>
      </c>
    </row>
    <row r="3" spans="1:136" ht="45.75" thickBot="1" x14ac:dyDescent="0.3">
      <c r="A3" t="s">
        <v>83</v>
      </c>
      <c r="C3" t="s">
        <v>33</v>
      </c>
      <c r="D3" t="s">
        <v>35</v>
      </c>
      <c r="F3" t="s">
        <v>3</v>
      </c>
      <c r="I3" s="120"/>
      <c r="J3" s="2"/>
      <c r="K3" s="3" t="s">
        <v>3</v>
      </c>
      <c r="L3" s="4" t="s">
        <v>4</v>
      </c>
      <c r="M3" s="5" t="s">
        <v>5</v>
      </c>
      <c r="S3">
        <v>30</v>
      </c>
      <c r="T3">
        <v>45</v>
      </c>
      <c r="U3">
        <v>70</v>
      </c>
      <c r="W3">
        <v>0</v>
      </c>
      <c r="X3">
        <v>1</v>
      </c>
      <c r="Y3">
        <v>0.1</v>
      </c>
      <c r="Z3">
        <v>90</v>
      </c>
      <c r="AB3">
        <v>1</v>
      </c>
      <c r="AC3">
        <v>0.25</v>
      </c>
      <c r="AD3">
        <f>AB3-AC3</f>
        <v>0.75</v>
      </c>
      <c r="AE3">
        <v>10</v>
      </c>
      <c r="AF3" s="17" t="s">
        <v>53</v>
      </c>
      <c r="AG3">
        <v>0.90700000000000003</v>
      </c>
      <c r="AH3">
        <v>8.75</v>
      </c>
      <c r="AJ3">
        <v>32</v>
      </c>
      <c r="AK3">
        <v>3</v>
      </c>
      <c r="AL3">
        <f t="shared" ref="AL3:AL6" si="0">0.2</f>
        <v>0.2</v>
      </c>
      <c r="AM3">
        <v>200</v>
      </c>
      <c r="AN3">
        <v>2</v>
      </c>
      <c r="AP3">
        <v>32</v>
      </c>
      <c r="AQ3">
        <v>3</v>
      </c>
      <c r="AR3">
        <f t="shared" ref="AR3:AR4" si="1">0.3</f>
        <v>0.3</v>
      </c>
      <c r="AS3">
        <v>200</v>
      </c>
      <c r="AT3">
        <v>2</v>
      </c>
      <c r="AV3">
        <v>1</v>
      </c>
      <c r="AW3">
        <v>1</v>
      </c>
      <c r="AX3">
        <f>0.1</f>
        <v>0.1</v>
      </c>
      <c r="AY3">
        <v>200</v>
      </c>
      <c r="BA3">
        <v>32</v>
      </c>
      <c r="BB3">
        <v>3</v>
      </c>
      <c r="BC3">
        <f>0.2</f>
        <v>0.2</v>
      </c>
      <c r="BD3">
        <v>200</v>
      </c>
      <c r="BE3" s="21" t="s">
        <v>184</v>
      </c>
      <c r="BF3" s="21">
        <v>8</v>
      </c>
      <c r="BG3" s="21">
        <v>250</v>
      </c>
      <c r="BH3" s="21" t="s">
        <v>6</v>
      </c>
      <c r="BI3" s="21" t="s">
        <v>185</v>
      </c>
      <c r="BK3" s="21" t="s">
        <v>33</v>
      </c>
      <c r="BL3" s="21" t="s">
        <v>192</v>
      </c>
      <c r="BM3" s="21">
        <v>8</v>
      </c>
      <c r="BN3" s="21">
        <v>140</v>
      </c>
      <c r="BO3" s="21" t="s">
        <v>6</v>
      </c>
      <c r="BP3" t="s">
        <v>185</v>
      </c>
      <c r="BR3" s="21" t="s">
        <v>279</v>
      </c>
      <c r="BS3" s="71">
        <v>3</v>
      </c>
      <c r="BT3" s="21">
        <v>2</v>
      </c>
      <c r="BU3" s="21">
        <v>0.10000000149011612</v>
      </c>
      <c r="BV3" s="21">
        <v>20</v>
      </c>
      <c r="BW3" s="21"/>
      <c r="BX3" s="21" t="s">
        <v>280</v>
      </c>
      <c r="BY3" s="21" t="b">
        <v>0</v>
      </c>
      <c r="CA3">
        <v>4</v>
      </c>
      <c r="CB3">
        <v>1</v>
      </c>
      <c r="CC3">
        <v>0.7</v>
      </c>
      <c r="CD3">
        <v>20</v>
      </c>
      <c r="CF3" t="s">
        <v>268</v>
      </c>
      <c r="CG3" t="b">
        <v>0</v>
      </c>
      <c r="CH3">
        <v>3.3</v>
      </c>
      <c r="CI3" s="21" t="s">
        <v>269</v>
      </c>
      <c r="CK3" t="s">
        <v>262</v>
      </c>
      <c r="CL3">
        <v>51</v>
      </c>
      <c r="CM3">
        <v>1</v>
      </c>
      <c r="CN3">
        <v>7.0000000298023224E-2</v>
      </c>
      <c r="CO3">
        <v>250</v>
      </c>
      <c r="CQ3" t="s">
        <v>159</v>
      </c>
      <c r="CR3" t="b">
        <v>0</v>
      </c>
      <c r="CS3" s="21">
        <v>3</v>
      </c>
      <c r="CT3" s="21">
        <v>39</v>
      </c>
      <c r="CU3" s="21">
        <v>51</v>
      </c>
      <c r="CW3">
        <v>16</v>
      </c>
      <c r="CX3">
        <v>8</v>
      </c>
      <c r="CY3">
        <v>5.000000074505806E-2</v>
      </c>
      <c r="CZ3">
        <v>90</v>
      </c>
      <c r="DA3">
        <v>1</v>
      </c>
      <c r="DB3" t="s">
        <v>257</v>
      </c>
      <c r="DC3" t="b">
        <v>0</v>
      </c>
      <c r="DD3" t="s">
        <v>252</v>
      </c>
      <c r="DF3">
        <v>16</v>
      </c>
      <c r="DG3">
        <v>2</v>
      </c>
      <c r="DH3">
        <v>0.20000000298023224</v>
      </c>
      <c r="DI3">
        <v>200</v>
      </c>
      <c r="DJ3">
        <v>1.5</v>
      </c>
      <c r="DK3" t="s">
        <v>173</v>
      </c>
      <c r="DL3" t="b">
        <v>1</v>
      </c>
      <c r="DM3" t="s">
        <v>252</v>
      </c>
      <c r="DN3" t="b">
        <v>1</v>
      </c>
      <c r="DP3" t="s">
        <v>244</v>
      </c>
      <c r="DQ3">
        <v>37</v>
      </c>
      <c r="DR3" s="71">
        <v>3</v>
      </c>
      <c r="DS3" s="71">
        <v>0.15000000596046448</v>
      </c>
      <c r="DT3">
        <v>150</v>
      </c>
      <c r="DU3">
        <v>1</v>
      </c>
      <c r="DV3" t="s">
        <v>245</v>
      </c>
      <c r="DW3" t="b">
        <v>1</v>
      </c>
      <c r="DY3" t="s">
        <v>172</v>
      </c>
      <c r="DZ3">
        <v>40</v>
      </c>
      <c r="EA3">
        <v>4</v>
      </c>
      <c r="EB3">
        <v>0.20000000298023224</v>
      </c>
      <c r="EC3">
        <v>200</v>
      </c>
      <c r="ED3">
        <v>1.5</v>
      </c>
      <c r="EE3" t="s">
        <v>173</v>
      </c>
      <c r="EF3" t="b">
        <v>1</v>
      </c>
    </row>
    <row r="4" spans="1:136" ht="15.75" thickBot="1" x14ac:dyDescent="0.3">
      <c r="A4" t="s">
        <v>25</v>
      </c>
      <c r="C4" t="s">
        <v>34</v>
      </c>
      <c r="D4" t="s">
        <v>36</v>
      </c>
      <c r="F4" t="s">
        <v>46</v>
      </c>
      <c r="H4" t="s">
        <v>45</v>
      </c>
      <c r="I4" s="124" t="s">
        <v>6</v>
      </c>
      <c r="J4" s="6" t="s">
        <v>7</v>
      </c>
      <c r="K4" s="7">
        <v>30</v>
      </c>
      <c r="L4" s="8">
        <v>45</v>
      </c>
      <c r="M4" s="7">
        <v>70</v>
      </c>
      <c r="O4" t="s">
        <v>6</v>
      </c>
      <c r="P4" s="17" t="s">
        <v>29</v>
      </c>
      <c r="Q4" t="str">
        <f t="shared" ref="Q4:Q9" si="2">CONCATENATE($O$4,P4)</f>
        <v>P01</v>
      </c>
      <c r="S4">
        <v>20</v>
      </c>
      <c r="T4">
        <v>40</v>
      </c>
      <c r="U4">
        <v>60</v>
      </c>
      <c r="W4">
        <v>16.010000000000002</v>
      </c>
      <c r="X4">
        <v>1</v>
      </c>
      <c r="Y4">
        <v>0.04</v>
      </c>
      <c r="Z4">
        <v>200</v>
      </c>
      <c r="AB4">
        <v>1.2</v>
      </c>
      <c r="AC4">
        <v>0.25</v>
      </c>
      <c r="AD4">
        <f t="shared" ref="AD4:AD32" si="3">AB4-AC4</f>
        <v>0.95</v>
      </c>
      <c r="AE4">
        <v>10</v>
      </c>
      <c r="AF4" s="17" t="s">
        <v>54</v>
      </c>
      <c r="AG4">
        <v>1.337</v>
      </c>
      <c r="AH4">
        <v>11.8</v>
      </c>
      <c r="AJ4">
        <v>52</v>
      </c>
      <c r="AK4">
        <v>5</v>
      </c>
      <c r="AL4">
        <f t="shared" si="0"/>
        <v>0.2</v>
      </c>
      <c r="AM4">
        <v>200</v>
      </c>
      <c r="AN4">
        <v>2</v>
      </c>
      <c r="AP4">
        <v>63</v>
      </c>
      <c r="AQ4">
        <v>7</v>
      </c>
      <c r="AR4">
        <f t="shared" si="1"/>
        <v>0.3</v>
      </c>
      <c r="AS4">
        <v>200</v>
      </c>
      <c r="AT4">
        <v>2</v>
      </c>
      <c r="BA4">
        <v>50</v>
      </c>
      <c r="BB4">
        <v>3</v>
      </c>
      <c r="BC4">
        <f>0.2</f>
        <v>0.2</v>
      </c>
      <c r="BD4">
        <v>150</v>
      </c>
      <c r="BE4" s="21" t="s">
        <v>186</v>
      </c>
      <c r="BF4" s="21">
        <v>8</v>
      </c>
      <c r="BG4" s="21">
        <v>320</v>
      </c>
      <c r="BH4" s="21" t="s">
        <v>6</v>
      </c>
      <c r="BI4" s="21" t="s">
        <v>185</v>
      </c>
      <c r="BK4" s="21" t="s">
        <v>33</v>
      </c>
      <c r="BL4" s="21" t="s">
        <v>33</v>
      </c>
      <c r="BM4" s="21">
        <v>8</v>
      </c>
      <c r="BN4" s="21">
        <v>140</v>
      </c>
      <c r="BO4" s="21" t="s">
        <v>6</v>
      </c>
      <c r="BP4" t="s">
        <v>185</v>
      </c>
      <c r="BR4" s="21" t="s">
        <v>281</v>
      </c>
      <c r="BS4" s="71">
        <v>4.2</v>
      </c>
      <c r="BT4" s="21">
        <v>2</v>
      </c>
      <c r="BU4" s="21">
        <v>0.10000000149011612</v>
      </c>
      <c r="BV4" s="21">
        <v>20</v>
      </c>
      <c r="BW4" s="21"/>
      <c r="BX4" s="21" t="s">
        <v>280</v>
      </c>
      <c r="BY4" s="21" t="b">
        <v>0</v>
      </c>
      <c r="CA4">
        <v>5</v>
      </c>
      <c r="CB4">
        <v>1</v>
      </c>
      <c r="CC4">
        <v>0.8</v>
      </c>
      <c r="CD4">
        <v>20</v>
      </c>
      <c r="CF4" t="s">
        <v>268</v>
      </c>
      <c r="CG4" t="b">
        <v>0</v>
      </c>
      <c r="CH4">
        <v>4.2</v>
      </c>
      <c r="CI4" s="21" t="s">
        <v>270</v>
      </c>
      <c r="CK4" t="s">
        <v>263</v>
      </c>
      <c r="CL4">
        <v>65</v>
      </c>
      <c r="CM4">
        <v>1</v>
      </c>
      <c r="CN4">
        <v>7.0000000298023224E-2</v>
      </c>
      <c r="CO4">
        <v>250</v>
      </c>
      <c r="CQ4" t="s">
        <v>159</v>
      </c>
      <c r="CR4" t="b">
        <v>0</v>
      </c>
      <c r="CS4" s="21">
        <v>3</v>
      </c>
      <c r="CT4" s="21">
        <v>50</v>
      </c>
      <c r="CU4" s="21">
        <v>65</v>
      </c>
      <c r="CW4">
        <v>18</v>
      </c>
      <c r="CX4">
        <v>8</v>
      </c>
      <c r="CY4">
        <v>5.000000074505806E-2</v>
      </c>
      <c r="CZ4">
        <v>90</v>
      </c>
      <c r="DA4">
        <v>1</v>
      </c>
      <c r="DB4" t="s">
        <v>257</v>
      </c>
      <c r="DC4" t="b">
        <v>0</v>
      </c>
      <c r="DD4" t="s">
        <v>258</v>
      </c>
      <c r="DF4">
        <v>20</v>
      </c>
      <c r="DG4">
        <v>2</v>
      </c>
      <c r="DH4">
        <v>0.20000000298023224</v>
      </c>
      <c r="DI4">
        <v>200</v>
      </c>
      <c r="DJ4">
        <v>1.5</v>
      </c>
      <c r="DK4" t="s">
        <v>173</v>
      </c>
      <c r="DL4" t="b">
        <v>1</v>
      </c>
      <c r="DM4" t="s">
        <v>253</v>
      </c>
      <c r="DN4" t="b">
        <v>1</v>
      </c>
      <c r="DP4" t="s">
        <v>246</v>
      </c>
      <c r="DQ4">
        <v>50</v>
      </c>
      <c r="DR4" s="71">
        <v>3</v>
      </c>
      <c r="DS4" s="71">
        <v>0.15000000596046448</v>
      </c>
      <c r="DT4">
        <v>150</v>
      </c>
      <c r="DU4">
        <v>10</v>
      </c>
      <c r="DV4" t="s">
        <v>245</v>
      </c>
      <c r="DW4" t="b">
        <v>1</v>
      </c>
      <c r="DY4" t="s">
        <v>174</v>
      </c>
      <c r="DZ4">
        <v>50</v>
      </c>
      <c r="EA4">
        <v>5</v>
      </c>
      <c r="EB4">
        <v>0.20000000298023224</v>
      </c>
      <c r="EC4">
        <v>200</v>
      </c>
      <c r="ED4">
        <v>1.5</v>
      </c>
      <c r="EE4" t="s">
        <v>173</v>
      </c>
      <c r="EF4" t="b">
        <v>1</v>
      </c>
    </row>
    <row r="5" spans="1:136" ht="30.75" thickBot="1" x14ac:dyDescent="0.3">
      <c r="A5" t="s">
        <v>26</v>
      </c>
      <c r="F5" t="s">
        <v>5</v>
      </c>
      <c r="I5" s="125"/>
      <c r="J5" s="6" t="s">
        <v>8</v>
      </c>
      <c r="K5" s="9">
        <v>20</v>
      </c>
      <c r="L5" s="10">
        <v>40</v>
      </c>
      <c r="M5" s="9">
        <v>60</v>
      </c>
      <c r="P5" s="17">
        <v>10</v>
      </c>
      <c r="Q5" t="str">
        <f t="shared" si="2"/>
        <v>P10</v>
      </c>
      <c r="S5">
        <v>15</v>
      </c>
      <c r="T5">
        <v>35</v>
      </c>
      <c r="U5">
        <v>40</v>
      </c>
      <c r="W5">
        <v>50.01</v>
      </c>
      <c r="AB5">
        <v>1.6</v>
      </c>
      <c r="AC5">
        <v>0.35</v>
      </c>
      <c r="AD5">
        <f t="shared" si="3"/>
        <v>1.25</v>
      </c>
      <c r="AE5">
        <v>10</v>
      </c>
      <c r="AF5" s="17" t="s">
        <v>55</v>
      </c>
      <c r="AG5">
        <v>1.337</v>
      </c>
      <c r="AH5">
        <v>15.25</v>
      </c>
      <c r="AJ5">
        <v>80</v>
      </c>
      <c r="AK5">
        <v>6</v>
      </c>
      <c r="AL5">
        <f t="shared" si="0"/>
        <v>0.2</v>
      </c>
      <c r="AM5">
        <v>200</v>
      </c>
      <c r="AN5">
        <v>2</v>
      </c>
      <c r="BE5" s="21" t="s">
        <v>187</v>
      </c>
      <c r="BF5" s="21">
        <v>8</v>
      </c>
      <c r="BG5" s="21">
        <v>400</v>
      </c>
      <c r="BH5" s="21" t="s">
        <v>6</v>
      </c>
      <c r="BI5" s="21" t="s">
        <v>185</v>
      </c>
      <c r="BK5" s="21" t="s">
        <v>33</v>
      </c>
      <c r="BL5" s="21" t="s">
        <v>193</v>
      </c>
      <c r="BM5" s="21">
        <v>8</v>
      </c>
      <c r="BN5" s="21">
        <v>140</v>
      </c>
      <c r="BO5" s="21" t="s">
        <v>6</v>
      </c>
      <c r="BP5" t="s">
        <v>185</v>
      </c>
      <c r="BR5" s="21" t="s">
        <v>282</v>
      </c>
      <c r="BS5" s="71">
        <v>5</v>
      </c>
      <c r="BT5" s="21">
        <v>2</v>
      </c>
      <c r="BU5" s="21">
        <v>0.15000000596046448</v>
      </c>
      <c r="BV5" s="21">
        <v>90</v>
      </c>
      <c r="BW5" s="21"/>
      <c r="BX5" s="21" t="s">
        <v>280</v>
      </c>
      <c r="BY5" s="21" t="b">
        <v>0</v>
      </c>
      <c r="CA5">
        <v>6</v>
      </c>
      <c r="CB5">
        <v>1</v>
      </c>
      <c r="CC5">
        <v>1</v>
      </c>
      <c r="CD5">
        <v>20</v>
      </c>
      <c r="CF5" t="s">
        <v>268</v>
      </c>
      <c r="CG5" t="b">
        <v>0</v>
      </c>
      <c r="CH5">
        <v>5</v>
      </c>
      <c r="CI5" s="21" t="s">
        <v>271</v>
      </c>
      <c r="CK5" t="s">
        <v>264</v>
      </c>
      <c r="CL5">
        <v>86</v>
      </c>
      <c r="CM5">
        <v>1</v>
      </c>
      <c r="CN5">
        <v>7.0000000298023224E-2</v>
      </c>
      <c r="CO5">
        <v>250</v>
      </c>
      <c r="CQ5" t="s">
        <v>159</v>
      </c>
      <c r="CR5" t="b">
        <v>0</v>
      </c>
      <c r="CS5" s="21">
        <v>3</v>
      </c>
      <c r="CT5" s="21">
        <v>64</v>
      </c>
      <c r="CU5" s="21">
        <v>86</v>
      </c>
      <c r="CW5">
        <v>20</v>
      </c>
      <c r="CX5">
        <v>8</v>
      </c>
      <c r="CY5">
        <v>5.000000074505806E-2</v>
      </c>
      <c r="CZ5">
        <v>90</v>
      </c>
      <c r="DA5">
        <v>1</v>
      </c>
      <c r="DB5" t="s">
        <v>257</v>
      </c>
      <c r="DC5" t="b">
        <v>0</v>
      </c>
      <c r="DD5" t="s">
        <v>253</v>
      </c>
      <c r="DF5">
        <v>25</v>
      </c>
      <c r="DG5">
        <v>3</v>
      </c>
      <c r="DH5">
        <v>0.20000000298023224</v>
      </c>
      <c r="DI5">
        <v>200</v>
      </c>
      <c r="DJ5">
        <v>1.5</v>
      </c>
      <c r="DK5" t="s">
        <v>173</v>
      </c>
      <c r="DL5" t="b">
        <v>1</v>
      </c>
      <c r="DM5" t="s">
        <v>254</v>
      </c>
      <c r="DN5" t="b">
        <v>1</v>
      </c>
      <c r="DP5" t="s">
        <v>247</v>
      </c>
      <c r="DQ5">
        <v>53</v>
      </c>
      <c r="DR5" s="71">
        <v>4</v>
      </c>
      <c r="DS5" s="71">
        <v>0.15000000596046448</v>
      </c>
      <c r="DT5">
        <v>150</v>
      </c>
      <c r="DU5">
        <v>10</v>
      </c>
      <c r="DV5" t="s">
        <v>245</v>
      </c>
      <c r="DW5" t="b">
        <v>1</v>
      </c>
      <c r="DY5" t="s">
        <v>175</v>
      </c>
      <c r="DZ5">
        <v>52</v>
      </c>
      <c r="EA5">
        <v>5</v>
      </c>
      <c r="EB5">
        <v>0.20000000298023224</v>
      </c>
      <c r="EC5">
        <v>200</v>
      </c>
      <c r="ED5">
        <v>1.5</v>
      </c>
      <c r="EE5" t="s">
        <v>176</v>
      </c>
      <c r="EF5" t="b">
        <v>1</v>
      </c>
    </row>
    <row r="6" spans="1:136" ht="30.75" thickBot="1" x14ac:dyDescent="0.3">
      <c r="A6" t="s">
        <v>24</v>
      </c>
      <c r="I6" s="125"/>
      <c r="J6" s="6" t="s">
        <v>9</v>
      </c>
      <c r="K6" s="9">
        <v>15</v>
      </c>
      <c r="L6" s="10">
        <v>35</v>
      </c>
      <c r="M6" s="9">
        <v>40</v>
      </c>
      <c r="P6" s="17">
        <v>20</v>
      </c>
      <c r="Q6" t="str">
        <f t="shared" si="2"/>
        <v>P20</v>
      </c>
      <c r="S6">
        <v>10</v>
      </c>
      <c r="T6">
        <v>30</v>
      </c>
      <c r="U6">
        <v>70</v>
      </c>
      <c r="AB6">
        <v>2</v>
      </c>
      <c r="AC6">
        <v>0.4</v>
      </c>
      <c r="AD6">
        <f t="shared" si="3"/>
        <v>1.6</v>
      </c>
      <c r="AE6">
        <v>10</v>
      </c>
      <c r="AF6" s="17" t="s">
        <v>56</v>
      </c>
      <c r="AG6">
        <v>1.8140000000000001</v>
      </c>
      <c r="AH6">
        <v>19.05</v>
      </c>
      <c r="AJ6">
        <v>125</v>
      </c>
      <c r="AK6">
        <v>8</v>
      </c>
      <c r="AL6">
        <f t="shared" si="0"/>
        <v>0.2</v>
      </c>
      <c r="AM6">
        <v>200</v>
      </c>
      <c r="AN6">
        <v>2</v>
      </c>
      <c r="BE6" s="21" t="s">
        <v>188</v>
      </c>
      <c r="BF6" s="21">
        <v>8</v>
      </c>
      <c r="BG6" s="21">
        <v>500</v>
      </c>
      <c r="BH6" s="21" t="s">
        <v>6</v>
      </c>
      <c r="BI6" s="21" t="s">
        <v>185</v>
      </c>
      <c r="BK6" s="21" t="s">
        <v>33</v>
      </c>
      <c r="BL6" s="21" t="s">
        <v>194</v>
      </c>
      <c r="BM6" s="21">
        <v>8</v>
      </c>
      <c r="BN6" s="21">
        <v>140</v>
      </c>
      <c r="BO6" s="21" t="s">
        <v>6</v>
      </c>
      <c r="BP6" t="s">
        <v>185</v>
      </c>
      <c r="BR6" s="21" t="s">
        <v>283</v>
      </c>
      <c r="BS6" s="71">
        <v>6</v>
      </c>
      <c r="BT6" s="21">
        <v>2</v>
      </c>
      <c r="BU6" s="21">
        <v>0.15000000596046448</v>
      </c>
      <c r="BV6" s="21">
        <v>90</v>
      </c>
      <c r="BW6" s="21"/>
      <c r="BX6" s="21" t="s">
        <v>280</v>
      </c>
      <c r="BY6" s="21" t="b">
        <v>0</v>
      </c>
      <c r="CA6">
        <v>8</v>
      </c>
      <c r="CB6">
        <v>1</v>
      </c>
      <c r="CC6">
        <v>1.2</v>
      </c>
      <c r="CD6">
        <v>20</v>
      </c>
      <c r="CF6" t="s">
        <v>268</v>
      </c>
      <c r="CG6" t="b">
        <v>0</v>
      </c>
      <c r="CH6">
        <v>6.8</v>
      </c>
      <c r="CI6" s="21" t="s">
        <v>272</v>
      </c>
      <c r="CK6" t="s">
        <v>265</v>
      </c>
      <c r="CL6">
        <v>115</v>
      </c>
      <c r="CM6">
        <v>1</v>
      </c>
      <c r="CN6">
        <v>7.0000000298023224E-2</v>
      </c>
      <c r="CO6">
        <v>250</v>
      </c>
      <c r="CQ6" t="s">
        <v>159</v>
      </c>
      <c r="CR6" t="b">
        <v>0</v>
      </c>
      <c r="CS6" s="21">
        <v>3</v>
      </c>
      <c r="CT6" s="21">
        <v>85</v>
      </c>
      <c r="CU6" s="21">
        <v>115</v>
      </c>
      <c r="CW6">
        <v>25</v>
      </c>
      <c r="CX6">
        <v>5</v>
      </c>
      <c r="CY6">
        <v>5.000000074505806E-2</v>
      </c>
      <c r="CZ6">
        <v>90</v>
      </c>
      <c r="DA6">
        <v>1</v>
      </c>
      <c r="DB6" t="s">
        <v>257</v>
      </c>
      <c r="DC6" t="b">
        <v>0</v>
      </c>
      <c r="DD6" t="s">
        <v>254</v>
      </c>
      <c r="DF6">
        <v>32</v>
      </c>
      <c r="DG6">
        <v>3</v>
      </c>
      <c r="DH6">
        <v>0.20000000298023224</v>
      </c>
      <c r="DI6">
        <v>200</v>
      </c>
      <c r="DJ6">
        <v>1</v>
      </c>
      <c r="DK6" t="s">
        <v>255</v>
      </c>
      <c r="DL6" t="b">
        <v>1</v>
      </c>
      <c r="DM6" t="s">
        <v>256</v>
      </c>
      <c r="DN6" t="b">
        <v>1</v>
      </c>
      <c r="DP6" t="s">
        <v>248</v>
      </c>
      <c r="DQ6">
        <v>60</v>
      </c>
      <c r="DR6" s="71">
        <v>3</v>
      </c>
      <c r="DS6" s="71">
        <v>0.15000000596046448</v>
      </c>
      <c r="DT6">
        <v>150</v>
      </c>
      <c r="DU6">
        <v>10</v>
      </c>
      <c r="DV6" t="s">
        <v>245</v>
      </c>
      <c r="DW6" t="b">
        <v>1</v>
      </c>
      <c r="DY6" t="s">
        <v>177</v>
      </c>
      <c r="DZ6">
        <v>63</v>
      </c>
      <c r="EA6">
        <v>5</v>
      </c>
      <c r="EB6">
        <v>0.20000000298023224</v>
      </c>
      <c r="EC6">
        <v>200</v>
      </c>
      <c r="ED6">
        <v>1.5</v>
      </c>
      <c r="EE6" t="s">
        <v>173</v>
      </c>
      <c r="EF6" t="b">
        <v>1</v>
      </c>
    </row>
    <row r="7" spans="1:136" ht="30.75" thickBot="1" x14ac:dyDescent="0.3">
      <c r="A7" t="s">
        <v>21</v>
      </c>
      <c r="I7" s="126"/>
      <c r="J7" s="6" t="s">
        <v>10</v>
      </c>
      <c r="K7" s="9">
        <v>10</v>
      </c>
      <c r="L7" s="10">
        <v>30</v>
      </c>
      <c r="M7" s="9">
        <v>70</v>
      </c>
      <c r="P7" s="17">
        <v>30</v>
      </c>
      <c r="Q7" t="str">
        <f t="shared" si="2"/>
        <v>P30</v>
      </c>
      <c r="AB7">
        <v>2.5</v>
      </c>
      <c r="AC7">
        <v>0.45</v>
      </c>
      <c r="AD7">
        <f t="shared" si="3"/>
        <v>2.0499999999999998</v>
      </c>
      <c r="AE7">
        <v>10</v>
      </c>
      <c r="AF7" s="17" t="s">
        <v>74</v>
      </c>
      <c r="AG7">
        <v>1.8140000000000001</v>
      </c>
      <c r="AH7">
        <v>21.03</v>
      </c>
      <c r="BE7" s="21" t="s">
        <v>33</v>
      </c>
      <c r="BF7" s="21">
        <v>8</v>
      </c>
      <c r="BG7" s="21">
        <v>140</v>
      </c>
      <c r="BH7" s="21" t="s">
        <v>6</v>
      </c>
      <c r="BI7" s="21" t="s">
        <v>185</v>
      </c>
      <c r="BK7" s="21" t="s">
        <v>33</v>
      </c>
      <c r="BL7" s="21" t="s">
        <v>195</v>
      </c>
      <c r="BM7" s="21">
        <v>8</v>
      </c>
      <c r="BN7" s="21">
        <v>140</v>
      </c>
      <c r="BO7" s="21" t="s">
        <v>6</v>
      </c>
      <c r="BP7" t="s">
        <v>185</v>
      </c>
      <c r="BR7" s="21" t="s">
        <v>284</v>
      </c>
      <c r="BS7" s="71">
        <v>6.5</v>
      </c>
      <c r="BT7" s="21">
        <v>2</v>
      </c>
      <c r="BU7" s="21">
        <v>0.15000000596046448</v>
      </c>
      <c r="BV7" s="21">
        <v>90</v>
      </c>
      <c r="BW7" s="21"/>
      <c r="BX7" s="21" t="s">
        <v>280</v>
      </c>
      <c r="BY7" s="21" t="b">
        <v>0</v>
      </c>
      <c r="CA7">
        <v>10</v>
      </c>
      <c r="CB7">
        <v>1</v>
      </c>
      <c r="CC7">
        <v>1.5</v>
      </c>
      <c r="CD7">
        <v>20</v>
      </c>
      <c r="CF7" t="s">
        <v>268</v>
      </c>
      <c r="CG7" t="b">
        <v>0</v>
      </c>
      <c r="CH7">
        <v>8.5</v>
      </c>
      <c r="CI7" s="21" t="s">
        <v>273</v>
      </c>
      <c r="CK7" t="s">
        <v>266</v>
      </c>
      <c r="CL7">
        <v>144</v>
      </c>
      <c r="CM7">
        <v>1</v>
      </c>
      <c r="CN7">
        <v>7.0000000298023224E-2</v>
      </c>
      <c r="CO7">
        <v>250</v>
      </c>
      <c r="CQ7" t="s">
        <v>159</v>
      </c>
      <c r="CR7" t="b">
        <v>0</v>
      </c>
      <c r="CS7" s="21">
        <v>4</v>
      </c>
      <c r="CT7" s="21">
        <v>114</v>
      </c>
      <c r="CU7" s="21">
        <v>144</v>
      </c>
      <c r="DF7">
        <v>40</v>
      </c>
      <c r="DG7">
        <v>4</v>
      </c>
      <c r="DH7">
        <v>0.20000000298023224</v>
      </c>
      <c r="DI7">
        <v>200</v>
      </c>
      <c r="DJ7">
        <v>1.5</v>
      </c>
      <c r="DK7" t="s">
        <v>173</v>
      </c>
      <c r="DL7" t="b">
        <v>1</v>
      </c>
      <c r="DM7" t="s">
        <v>172</v>
      </c>
      <c r="DN7" t="b">
        <v>1</v>
      </c>
      <c r="DP7" t="s">
        <v>249</v>
      </c>
      <c r="DQ7">
        <v>70</v>
      </c>
      <c r="DR7" s="71">
        <v>3</v>
      </c>
      <c r="DS7" s="71">
        <v>0.15000000596046448</v>
      </c>
      <c r="DT7">
        <v>150</v>
      </c>
      <c r="DU7">
        <v>10</v>
      </c>
      <c r="DV7" t="s">
        <v>245</v>
      </c>
      <c r="DW7" t="b">
        <v>1</v>
      </c>
      <c r="DY7" t="s">
        <v>178</v>
      </c>
      <c r="DZ7">
        <v>80</v>
      </c>
      <c r="EA7">
        <v>5</v>
      </c>
      <c r="EB7">
        <v>0.20000000298023224</v>
      </c>
      <c r="EC7">
        <v>200</v>
      </c>
      <c r="ED7">
        <v>1.5</v>
      </c>
      <c r="EE7" t="s">
        <v>176</v>
      </c>
      <c r="EF7" t="b">
        <v>1</v>
      </c>
    </row>
    <row r="8" spans="1:136" ht="15.75" thickBot="1" x14ac:dyDescent="0.3">
      <c r="A8" t="s">
        <v>23</v>
      </c>
      <c r="I8" s="11" t="s">
        <v>11</v>
      </c>
      <c r="J8" s="12" t="s">
        <v>12</v>
      </c>
      <c r="K8" s="13">
        <v>12</v>
      </c>
      <c r="L8" s="10">
        <v>20</v>
      </c>
      <c r="M8" s="9">
        <v>40</v>
      </c>
      <c r="P8" s="17">
        <v>40</v>
      </c>
      <c r="Q8" t="str">
        <f t="shared" si="2"/>
        <v>P40</v>
      </c>
      <c r="AB8">
        <v>3</v>
      </c>
      <c r="AC8">
        <v>0.5</v>
      </c>
      <c r="AD8">
        <f t="shared" si="3"/>
        <v>2.5</v>
      </c>
      <c r="AE8">
        <v>10</v>
      </c>
      <c r="AF8" s="17" t="s">
        <v>57</v>
      </c>
      <c r="AG8">
        <v>1.8140000000000001</v>
      </c>
      <c r="AH8">
        <v>24.5</v>
      </c>
      <c r="BE8" s="21" t="s">
        <v>34</v>
      </c>
      <c r="BF8" s="21">
        <v>8</v>
      </c>
      <c r="BG8" s="21">
        <v>190</v>
      </c>
      <c r="BH8" s="21" t="s">
        <v>6</v>
      </c>
      <c r="BI8" s="21" t="s">
        <v>185</v>
      </c>
      <c r="BK8" s="21" t="s">
        <v>33</v>
      </c>
      <c r="BL8" s="21" t="s">
        <v>196</v>
      </c>
      <c r="BM8" s="21">
        <v>8</v>
      </c>
      <c r="BN8" s="21">
        <v>140</v>
      </c>
      <c r="BO8" s="21" t="s">
        <v>6</v>
      </c>
      <c r="BP8" t="s">
        <v>185</v>
      </c>
      <c r="BR8" s="21" t="s">
        <v>285</v>
      </c>
      <c r="BS8" s="71">
        <v>6.8</v>
      </c>
      <c r="BT8" s="21">
        <v>2</v>
      </c>
      <c r="BU8" s="21">
        <v>0.15000000596046448</v>
      </c>
      <c r="BV8" s="21">
        <v>90</v>
      </c>
      <c r="BW8" s="21"/>
      <c r="BX8" s="21" t="s">
        <v>280</v>
      </c>
      <c r="BY8" s="21" t="b">
        <v>0</v>
      </c>
      <c r="CA8">
        <v>12</v>
      </c>
      <c r="CB8">
        <v>1</v>
      </c>
      <c r="CC8">
        <v>1.8</v>
      </c>
      <c r="CD8">
        <v>20</v>
      </c>
      <c r="CF8" t="s">
        <v>268</v>
      </c>
      <c r="CG8" t="b">
        <v>0</v>
      </c>
      <c r="CH8">
        <v>10.199999999999999</v>
      </c>
      <c r="CI8" s="21" t="s">
        <v>274</v>
      </c>
      <c r="CK8" t="s">
        <v>267</v>
      </c>
      <c r="CL8">
        <v>164</v>
      </c>
      <c r="CM8">
        <v>1</v>
      </c>
      <c r="CN8">
        <v>7.0000000298023224E-2</v>
      </c>
      <c r="CO8">
        <v>250</v>
      </c>
      <c r="CQ8" t="s">
        <v>159</v>
      </c>
      <c r="CR8" t="b">
        <v>0</v>
      </c>
      <c r="CS8" s="21">
        <v>5</v>
      </c>
      <c r="CT8" s="21">
        <v>9.75</v>
      </c>
      <c r="CU8" s="21">
        <v>164</v>
      </c>
      <c r="DF8">
        <v>50</v>
      </c>
      <c r="DG8">
        <v>5</v>
      </c>
      <c r="DH8">
        <v>0.20000000298023224</v>
      </c>
      <c r="DI8">
        <v>200</v>
      </c>
      <c r="DJ8">
        <v>1.5</v>
      </c>
      <c r="DK8" t="s">
        <v>173</v>
      </c>
      <c r="DL8" t="b">
        <v>1</v>
      </c>
      <c r="DM8" t="s">
        <v>174</v>
      </c>
      <c r="DN8" t="b">
        <v>1</v>
      </c>
      <c r="DP8" t="s">
        <v>250</v>
      </c>
      <c r="DQ8">
        <v>80</v>
      </c>
      <c r="DR8" s="71">
        <v>3</v>
      </c>
      <c r="DS8" s="71">
        <v>0.5</v>
      </c>
      <c r="DT8">
        <v>150</v>
      </c>
      <c r="DU8">
        <v>8</v>
      </c>
      <c r="DV8" t="s">
        <v>245</v>
      </c>
      <c r="DW8" t="b">
        <v>1</v>
      </c>
      <c r="DY8" t="s">
        <v>179</v>
      </c>
      <c r="DZ8">
        <v>125</v>
      </c>
      <c r="EA8">
        <v>8</v>
      </c>
      <c r="EB8">
        <v>0.20000000298023224</v>
      </c>
      <c r="EC8">
        <v>200</v>
      </c>
      <c r="ED8">
        <v>1.5</v>
      </c>
      <c r="EE8" t="s">
        <v>180</v>
      </c>
      <c r="EF8" t="b">
        <v>1</v>
      </c>
    </row>
    <row r="9" spans="1:136" ht="30.75" thickBot="1" x14ac:dyDescent="0.3">
      <c r="A9" t="s">
        <v>22</v>
      </c>
      <c r="I9" s="127" t="s">
        <v>13</v>
      </c>
      <c r="J9" s="14" t="s">
        <v>14</v>
      </c>
      <c r="K9" s="9">
        <v>25</v>
      </c>
      <c r="L9" s="10">
        <v>50</v>
      </c>
      <c r="M9" s="9">
        <v>80</v>
      </c>
      <c r="P9" s="17">
        <v>50</v>
      </c>
      <c r="Q9" t="str">
        <f t="shared" si="2"/>
        <v>P50</v>
      </c>
      <c r="AB9">
        <v>4</v>
      </c>
      <c r="AC9">
        <v>0.7</v>
      </c>
      <c r="AD9">
        <f t="shared" si="3"/>
        <v>3.3</v>
      </c>
      <c r="AE9">
        <v>10</v>
      </c>
      <c r="AF9" s="17" t="s">
        <v>58</v>
      </c>
      <c r="AG9">
        <v>1.8140000000000001</v>
      </c>
      <c r="AH9">
        <v>28.25</v>
      </c>
      <c r="BE9" s="21" t="s">
        <v>189</v>
      </c>
      <c r="BF9" s="21">
        <v>8</v>
      </c>
      <c r="BG9" s="21">
        <v>190</v>
      </c>
      <c r="BH9" s="21" t="s">
        <v>6</v>
      </c>
      <c r="BI9" s="21" t="s">
        <v>185</v>
      </c>
      <c r="BK9" s="21" t="s">
        <v>33</v>
      </c>
      <c r="BL9" s="21" t="s">
        <v>197</v>
      </c>
      <c r="BM9" s="21">
        <v>8</v>
      </c>
      <c r="BN9" s="21">
        <v>140</v>
      </c>
      <c r="BO9" s="21" t="s">
        <v>6</v>
      </c>
      <c r="BP9" t="s">
        <v>185</v>
      </c>
      <c r="BR9" s="21" t="s">
        <v>286</v>
      </c>
      <c r="BS9" s="71">
        <v>7</v>
      </c>
      <c r="BT9" s="21">
        <v>2</v>
      </c>
      <c r="BU9" s="21">
        <v>0.15000000596046448</v>
      </c>
      <c r="BV9" s="21">
        <v>90</v>
      </c>
      <c r="BW9" s="21"/>
      <c r="BX9" s="21" t="s">
        <v>280</v>
      </c>
      <c r="BY9" s="21" t="b">
        <v>0</v>
      </c>
      <c r="CA9">
        <v>14</v>
      </c>
      <c r="CB9">
        <v>1</v>
      </c>
      <c r="CC9">
        <v>2</v>
      </c>
      <c r="CD9">
        <v>20</v>
      </c>
      <c r="CF9" t="s">
        <v>268</v>
      </c>
      <c r="CG9" t="b">
        <v>0</v>
      </c>
      <c r="CH9">
        <v>12</v>
      </c>
      <c r="CI9" s="21" t="s">
        <v>275</v>
      </c>
      <c r="DF9">
        <v>52</v>
      </c>
      <c r="DG9">
        <v>5</v>
      </c>
      <c r="DH9">
        <v>0.20000000298023224</v>
      </c>
      <c r="DI9">
        <v>200</v>
      </c>
      <c r="DJ9">
        <v>1.5</v>
      </c>
      <c r="DK9" t="s">
        <v>176</v>
      </c>
      <c r="DL9" t="b">
        <v>1</v>
      </c>
      <c r="DM9" t="s">
        <v>175</v>
      </c>
      <c r="DN9" t="b">
        <v>1</v>
      </c>
    </row>
    <row r="10" spans="1:136" ht="30.75" thickBot="1" x14ac:dyDescent="0.3">
      <c r="I10" s="128"/>
      <c r="J10" s="14" t="s">
        <v>15</v>
      </c>
      <c r="K10" s="9">
        <v>15</v>
      </c>
      <c r="L10" s="10">
        <v>30</v>
      </c>
      <c r="M10" s="9">
        <v>80</v>
      </c>
      <c r="O10" t="s">
        <v>11</v>
      </c>
      <c r="P10" s="17" t="s">
        <v>29</v>
      </c>
      <c r="Q10" t="str">
        <f>CONCATENATE($O$10,P10)</f>
        <v>M01</v>
      </c>
      <c r="AB10">
        <v>5</v>
      </c>
      <c r="AC10">
        <v>0.8</v>
      </c>
      <c r="AD10">
        <f t="shared" si="3"/>
        <v>4.2</v>
      </c>
      <c r="AE10">
        <v>10</v>
      </c>
      <c r="AF10" s="17" t="s">
        <v>59</v>
      </c>
      <c r="AG10">
        <v>2.3090000000000002</v>
      </c>
      <c r="AH10">
        <v>30.75</v>
      </c>
      <c r="BK10" s="21" t="s">
        <v>33</v>
      </c>
      <c r="BL10" s="21" t="s">
        <v>198</v>
      </c>
      <c r="BM10" s="21">
        <v>8</v>
      </c>
      <c r="BN10" s="21">
        <v>140</v>
      </c>
      <c r="BO10" s="21" t="s">
        <v>6</v>
      </c>
      <c r="BP10" t="s">
        <v>185</v>
      </c>
      <c r="BR10" s="21" t="s">
        <v>287</v>
      </c>
      <c r="BS10" s="71">
        <v>8</v>
      </c>
      <c r="BT10" s="21">
        <v>2</v>
      </c>
      <c r="BU10" s="21">
        <v>0.15000000596046448</v>
      </c>
      <c r="BV10" s="21">
        <v>90</v>
      </c>
      <c r="BW10" s="21"/>
      <c r="BX10" s="21" t="s">
        <v>280</v>
      </c>
      <c r="BY10" s="21" t="b">
        <v>0</v>
      </c>
      <c r="CA10">
        <v>16</v>
      </c>
      <c r="CB10">
        <v>1</v>
      </c>
      <c r="CC10">
        <v>2</v>
      </c>
      <c r="CD10">
        <v>20</v>
      </c>
      <c r="CF10" t="s">
        <v>268</v>
      </c>
      <c r="CG10" t="b">
        <v>0</v>
      </c>
      <c r="CH10">
        <v>14</v>
      </c>
      <c r="CI10" s="21" t="s">
        <v>276</v>
      </c>
      <c r="DF10">
        <v>63</v>
      </c>
      <c r="DG10">
        <v>5</v>
      </c>
      <c r="DH10">
        <v>0.20000000298023224</v>
      </c>
      <c r="DI10">
        <v>200</v>
      </c>
      <c r="DJ10">
        <v>1.5</v>
      </c>
      <c r="DK10" t="s">
        <v>173</v>
      </c>
      <c r="DL10" t="b">
        <v>1</v>
      </c>
      <c r="DM10" t="s">
        <v>177</v>
      </c>
      <c r="DN10" t="b">
        <v>1</v>
      </c>
    </row>
    <row r="11" spans="1:136" ht="45.75" thickBot="1" x14ac:dyDescent="0.3">
      <c r="I11" s="129"/>
      <c r="J11" s="14" t="s">
        <v>16</v>
      </c>
      <c r="K11" s="9">
        <v>25</v>
      </c>
      <c r="L11" s="10">
        <v>50</v>
      </c>
      <c r="M11" s="9">
        <v>80</v>
      </c>
      <c r="P11" s="17">
        <v>10</v>
      </c>
      <c r="Q11" t="str">
        <f>CONCATENATE($O$10,P11)</f>
        <v>M10</v>
      </c>
      <c r="AB11">
        <v>6</v>
      </c>
      <c r="AC11">
        <v>1</v>
      </c>
      <c r="AD11">
        <f t="shared" si="3"/>
        <v>5</v>
      </c>
      <c r="AE11">
        <v>10</v>
      </c>
      <c r="AF11" s="17" t="s">
        <v>60</v>
      </c>
      <c r="AG11">
        <v>2.3090000000000002</v>
      </c>
      <c r="AH11">
        <v>39.5</v>
      </c>
      <c r="BK11" s="21" t="s">
        <v>33</v>
      </c>
      <c r="BL11" s="21" t="s">
        <v>199</v>
      </c>
      <c r="BM11" s="21">
        <v>8</v>
      </c>
      <c r="BN11" s="21">
        <v>140</v>
      </c>
      <c r="BO11" s="21" t="s">
        <v>6</v>
      </c>
      <c r="BP11" t="s">
        <v>185</v>
      </c>
      <c r="BR11" s="21" t="s">
        <v>288</v>
      </c>
      <c r="BS11" s="71">
        <v>8.5</v>
      </c>
      <c r="BT11" s="21">
        <v>2</v>
      </c>
      <c r="BU11" s="21">
        <v>0.15000000596046448</v>
      </c>
      <c r="BV11" s="21">
        <v>90</v>
      </c>
      <c r="BW11" s="21"/>
      <c r="BX11" s="21" t="s">
        <v>280</v>
      </c>
      <c r="BY11" s="21" t="b">
        <v>0</v>
      </c>
      <c r="CA11">
        <v>20</v>
      </c>
      <c r="CB11">
        <v>1</v>
      </c>
      <c r="CC11">
        <v>2.5</v>
      </c>
      <c r="CD11">
        <v>20</v>
      </c>
      <c r="CF11" t="s">
        <v>268</v>
      </c>
      <c r="CG11" t="b">
        <v>0</v>
      </c>
      <c r="CH11">
        <v>17.5</v>
      </c>
      <c r="CI11" s="21" t="s">
        <v>277</v>
      </c>
      <c r="DF11">
        <v>80</v>
      </c>
      <c r="DG11">
        <v>4</v>
      </c>
      <c r="DH11">
        <v>0.20000000298023224</v>
      </c>
      <c r="DI11">
        <v>200</v>
      </c>
      <c r="DJ11">
        <v>1</v>
      </c>
      <c r="DK11" t="s">
        <v>255</v>
      </c>
      <c r="DL11" t="b">
        <v>1</v>
      </c>
      <c r="DM11" t="s">
        <v>178</v>
      </c>
      <c r="DN11" t="b">
        <v>1</v>
      </c>
    </row>
    <row r="12" spans="1:136" ht="75.75" thickBot="1" x14ac:dyDescent="0.3">
      <c r="I12" s="130" t="s">
        <v>30</v>
      </c>
      <c r="J12" s="15" t="s">
        <v>17</v>
      </c>
      <c r="K12" s="9">
        <v>60</v>
      </c>
      <c r="L12" s="10">
        <v>90</v>
      </c>
      <c r="M12" s="9">
        <v>100</v>
      </c>
      <c r="P12" s="17">
        <v>20</v>
      </c>
      <c r="Q12" t="str">
        <f>CONCATENATE($O$10,P12)</f>
        <v>M20</v>
      </c>
      <c r="AB12">
        <v>8</v>
      </c>
      <c r="AC12">
        <v>1.25</v>
      </c>
      <c r="AD12">
        <f t="shared" si="3"/>
        <v>6.75</v>
      </c>
      <c r="AE12">
        <v>10</v>
      </c>
      <c r="AF12" s="17" t="s">
        <v>61</v>
      </c>
      <c r="AG12">
        <v>2.3090000000000002</v>
      </c>
      <c r="AH12">
        <v>45.24</v>
      </c>
      <c r="BK12" s="21" t="s">
        <v>33</v>
      </c>
      <c r="BL12" s="21" t="s">
        <v>200</v>
      </c>
      <c r="BM12" s="21">
        <v>8</v>
      </c>
      <c r="BN12" s="21">
        <v>140</v>
      </c>
      <c r="BO12" s="21" t="s">
        <v>6</v>
      </c>
      <c r="BP12" t="s">
        <v>185</v>
      </c>
      <c r="BR12" s="21" t="s">
        <v>289</v>
      </c>
      <c r="BS12" s="71">
        <v>8.8000000000000007</v>
      </c>
      <c r="BT12" s="21">
        <v>2</v>
      </c>
      <c r="BU12" s="21">
        <v>0.15000000596046448</v>
      </c>
      <c r="BV12" s="21">
        <v>90</v>
      </c>
      <c r="BW12" s="21"/>
      <c r="BX12" s="21" t="s">
        <v>280</v>
      </c>
      <c r="BY12" s="21" t="b">
        <v>0</v>
      </c>
      <c r="CA12">
        <v>27</v>
      </c>
      <c r="CB12">
        <v>1</v>
      </c>
      <c r="CC12">
        <v>3</v>
      </c>
      <c r="CD12">
        <v>20</v>
      </c>
      <c r="CF12" t="s">
        <v>268</v>
      </c>
      <c r="CG12" t="b">
        <v>0</v>
      </c>
      <c r="CH12">
        <v>24</v>
      </c>
      <c r="CI12" s="21" t="s">
        <v>278</v>
      </c>
    </row>
    <row r="13" spans="1:136" ht="90.75" thickBot="1" x14ac:dyDescent="0.3">
      <c r="I13" s="131"/>
      <c r="J13" s="15" t="s">
        <v>18</v>
      </c>
      <c r="K13" s="9">
        <v>60</v>
      </c>
      <c r="L13" s="10">
        <v>90</v>
      </c>
      <c r="M13" s="9">
        <v>100</v>
      </c>
      <c r="P13" s="17">
        <v>30</v>
      </c>
      <c r="Q13" t="str">
        <f>CONCATENATE($O$10,P13)</f>
        <v>M30</v>
      </c>
      <c r="AB13">
        <v>10</v>
      </c>
      <c r="AC13">
        <v>1.5</v>
      </c>
      <c r="AD13">
        <f t="shared" si="3"/>
        <v>8.5</v>
      </c>
      <c r="AE13">
        <v>10</v>
      </c>
      <c r="AF13" s="17" t="s">
        <v>62</v>
      </c>
      <c r="AG13">
        <v>2.3090000000000002</v>
      </c>
      <c r="AH13">
        <v>51</v>
      </c>
      <c r="BK13" s="21" t="s">
        <v>33</v>
      </c>
      <c r="BL13" s="21" t="s">
        <v>201</v>
      </c>
      <c r="BM13" s="21">
        <v>8</v>
      </c>
      <c r="BN13" s="21">
        <v>140</v>
      </c>
      <c r="BO13" s="21" t="s">
        <v>6</v>
      </c>
      <c r="BP13" t="s">
        <v>185</v>
      </c>
      <c r="BR13" s="21" t="s">
        <v>290</v>
      </c>
      <c r="BS13" s="71">
        <v>9</v>
      </c>
      <c r="BT13" s="21">
        <v>2</v>
      </c>
      <c r="BU13" s="21">
        <v>0.15000000596046448</v>
      </c>
      <c r="BV13" s="21">
        <v>90</v>
      </c>
      <c r="BW13" s="21"/>
      <c r="BX13" s="21" t="s">
        <v>280</v>
      </c>
      <c r="BY13" s="21" t="b">
        <v>0</v>
      </c>
    </row>
    <row r="14" spans="1:136" ht="60.75" thickBot="1" x14ac:dyDescent="0.3">
      <c r="I14" s="132"/>
      <c r="J14" s="15" t="s">
        <v>19</v>
      </c>
      <c r="K14" s="9">
        <v>40</v>
      </c>
      <c r="L14" s="10">
        <v>60</v>
      </c>
      <c r="M14" s="9">
        <v>100</v>
      </c>
      <c r="P14" s="17">
        <v>40</v>
      </c>
      <c r="Q14" t="str">
        <f>CONCATENATE($O$10,P14)</f>
        <v>M40</v>
      </c>
      <c r="AB14">
        <v>12</v>
      </c>
      <c r="AC14">
        <v>1.75</v>
      </c>
      <c r="AD14">
        <f t="shared" si="3"/>
        <v>10.25</v>
      </c>
      <c r="AE14">
        <v>10</v>
      </c>
      <c r="AF14" s="17" t="s">
        <v>63</v>
      </c>
      <c r="AG14">
        <v>2.3090000000000002</v>
      </c>
      <c r="AH14">
        <v>57</v>
      </c>
      <c r="BK14" s="21" t="s">
        <v>33</v>
      </c>
      <c r="BL14" s="21" t="s">
        <v>202</v>
      </c>
      <c r="BM14" s="21">
        <v>8</v>
      </c>
      <c r="BN14" s="21">
        <v>140</v>
      </c>
      <c r="BO14" s="21" t="s">
        <v>6</v>
      </c>
      <c r="BP14" t="s">
        <v>185</v>
      </c>
      <c r="BR14" s="21" t="s">
        <v>291</v>
      </c>
      <c r="BS14" s="71">
        <v>9.5</v>
      </c>
      <c r="BT14" s="21">
        <v>2</v>
      </c>
      <c r="BU14" s="21">
        <v>0.15000000596046448</v>
      </c>
      <c r="BV14" s="21">
        <v>90</v>
      </c>
      <c r="BW14" s="21"/>
      <c r="BX14" s="21" t="s">
        <v>280</v>
      </c>
      <c r="BY14" s="21" t="b">
        <v>0</v>
      </c>
    </row>
    <row r="15" spans="1:136" ht="15.75" thickBot="1" x14ac:dyDescent="0.3">
      <c r="I15" s="16"/>
      <c r="J15" s="16"/>
      <c r="K15" s="116" t="s">
        <v>20</v>
      </c>
      <c r="L15" s="117"/>
      <c r="M15" s="118"/>
      <c r="O15" t="s">
        <v>13</v>
      </c>
      <c r="P15" s="17" t="s">
        <v>29</v>
      </c>
      <c r="Q15" t="str">
        <f>CONCATENATE($O$15,P15)</f>
        <v>K01</v>
      </c>
      <c r="AB15">
        <v>14</v>
      </c>
      <c r="AC15">
        <v>2</v>
      </c>
      <c r="AD15">
        <f t="shared" si="3"/>
        <v>12</v>
      </c>
      <c r="AE15">
        <v>10</v>
      </c>
      <c r="AF15" s="17" t="s">
        <v>64</v>
      </c>
      <c r="AG15">
        <v>2.3090000000000002</v>
      </c>
      <c r="BK15" s="21" t="s">
        <v>34</v>
      </c>
      <c r="BL15" s="21" t="s">
        <v>203</v>
      </c>
      <c r="BM15" s="21">
        <v>8</v>
      </c>
      <c r="BN15" s="21">
        <v>190</v>
      </c>
      <c r="BO15" s="21" t="s">
        <v>6</v>
      </c>
      <c r="BP15" t="s">
        <v>185</v>
      </c>
      <c r="BR15" s="21" t="s">
        <v>292</v>
      </c>
      <c r="BS15" s="71">
        <v>10</v>
      </c>
      <c r="BT15" s="21">
        <v>2</v>
      </c>
      <c r="BU15" s="21">
        <v>0.15000000596046448</v>
      </c>
      <c r="BV15" s="21">
        <v>90</v>
      </c>
      <c r="BW15" s="21"/>
      <c r="BX15" s="21" t="s">
        <v>280</v>
      </c>
      <c r="BY15" s="21" t="b">
        <v>0</v>
      </c>
    </row>
    <row r="16" spans="1:136" x14ac:dyDescent="0.25">
      <c r="P16" s="17">
        <v>10</v>
      </c>
      <c r="Q16" t="str">
        <f>CONCATENATE($O$15,P16)</f>
        <v>K10</v>
      </c>
      <c r="AB16">
        <v>16</v>
      </c>
      <c r="AC16">
        <v>2</v>
      </c>
      <c r="AD16">
        <f t="shared" si="3"/>
        <v>14</v>
      </c>
      <c r="AE16">
        <v>10</v>
      </c>
      <c r="AF16" s="17" t="s">
        <v>65</v>
      </c>
      <c r="AG16">
        <v>2.3090000000000002</v>
      </c>
      <c r="BK16" s="21" t="s">
        <v>34</v>
      </c>
      <c r="BL16" s="21" t="s">
        <v>204</v>
      </c>
      <c r="BM16" s="21">
        <v>8</v>
      </c>
      <c r="BN16" s="21">
        <v>190</v>
      </c>
      <c r="BO16" s="21" t="s">
        <v>6</v>
      </c>
      <c r="BP16" t="s">
        <v>185</v>
      </c>
      <c r="BR16" s="21" t="s">
        <v>293</v>
      </c>
      <c r="BS16" s="71">
        <v>10.3</v>
      </c>
      <c r="BT16" s="21">
        <v>2</v>
      </c>
      <c r="BU16" s="21">
        <v>0.15000000596046448</v>
      </c>
      <c r="BV16" s="21">
        <v>90</v>
      </c>
      <c r="BW16" s="21"/>
      <c r="BX16" s="21" t="s">
        <v>280</v>
      </c>
      <c r="BY16" s="21" t="b">
        <v>0</v>
      </c>
    </row>
    <row r="17" spans="4:77" x14ac:dyDescent="0.25">
      <c r="P17" s="17">
        <v>20</v>
      </c>
      <c r="Q17" t="str">
        <f>CONCATENATE($O$15,P17)</f>
        <v>K20</v>
      </c>
      <c r="AB17">
        <v>18</v>
      </c>
      <c r="AC17">
        <v>2.5</v>
      </c>
      <c r="AD17">
        <f t="shared" si="3"/>
        <v>15.5</v>
      </c>
      <c r="AE17">
        <v>10</v>
      </c>
      <c r="AF17" s="17" t="s">
        <v>66</v>
      </c>
      <c r="AG17">
        <v>2.3090000000000002</v>
      </c>
      <c r="BK17" s="21" t="s">
        <v>34</v>
      </c>
      <c r="BL17" s="21" t="s">
        <v>205</v>
      </c>
      <c r="BM17" s="21">
        <v>8</v>
      </c>
      <c r="BN17" s="21">
        <v>190</v>
      </c>
      <c r="BO17" s="21" t="s">
        <v>6</v>
      </c>
      <c r="BP17" t="s">
        <v>185</v>
      </c>
      <c r="BR17" s="21" t="s">
        <v>294</v>
      </c>
      <c r="BS17" s="71">
        <v>10.5</v>
      </c>
      <c r="BT17" s="21">
        <v>2</v>
      </c>
      <c r="BU17" s="21">
        <v>0.15000000596046448</v>
      </c>
      <c r="BV17" s="21">
        <v>90</v>
      </c>
      <c r="BW17" s="21"/>
      <c r="BX17" s="21" t="s">
        <v>280</v>
      </c>
      <c r="BY17" s="21" t="b">
        <v>0</v>
      </c>
    </row>
    <row r="18" spans="4:77" x14ac:dyDescent="0.25">
      <c r="P18" s="17">
        <v>30</v>
      </c>
      <c r="Q18" t="str">
        <f>CONCATENATE($O$15,P18)</f>
        <v>K30</v>
      </c>
      <c r="AB18">
        <v>20</v>
      </c>
      <c r="AC18">
        <v>2.5</v>
      </c>
      <c r="AD18">
        <f t="shared" si="3"/>
        <v>17.5</v>
      </c>
      <c r="AE18">
        <v>10</v>
      </c>
      <c r="AF18" s="17" t="s">
        <v>67</v>
      </c>
      <c r="AG18">
        <v>2.3090000000000002</v>
      </c>
      <c r="BK18" s="21" t="s">
        <v>34</v>
      </c>
      <c r="BL18" s="21" t="s">
        <v>206</v>
      </c>
      <c r="BM18" s="21">
        <v>8</v>
      </c>
      <c r="BN18" s="21">
        <v>190</v>
      </c>
      <c r="BO18" s="21" t="s">
        <v>6</v>
      </c>
      <c r="BP18" t="s">
        <v>185</v>
      </c>
      <c r="BR18" s="21" t="s">
        <v>295</v>
      </c>
      <c r="BS18" s="71">
        <v>11</v>
      </c>
      <c r="BT18" s="21">
        <v>2</v>
      </c>
      <c r="BU18" s="21">
        <v>0.15000000596046448</v>
      </c>
      <c r="BV18" s="21">
        <v>90</v>
      </c>
      <c r="BW18" s="21"/>
      <c r="BX18" s="21" t="s">
        <v>280</v>
      </c>
      <c r="BY18" s="21" t="b">
        <v>0</v>
      </c>
    </row>
    <row r="19" spans="4:77" x14ac:dyDescent="0.25">
      <c r="P19" s="17">
        <v>40</v>
      </c>
      <c r="Q19" t="str">
        <f>CONCATENATE($O$15,P19)</f>
        <v>K40</v>
      </c>
      <c r="AB19">
        <v>22</v>
      </c>
      <c r="AC19">
        <v>2.5</v>
      </c>
      <c r="AD19">
        <f t="shared" si="3"/>
        <v>19.5</v>
      </c>
      <c r="AE19">
        <v>10</v>
      </c>
      <c r="AF19" s="17" t="s">
        <v>68</v>
      </c>
      <c r="AG19">
        <v>2.3090000000000002</v>
      </c>
      <c r="BK19" s="21" t="s">
        <v>34</v>
      </c>
      <c r="BL19" s="21" t="s">
        <v>207</v>
      </c>
      <c r="BM19" s="21">
        <v>8</v>
      </c>
      <c r="BN19" s="21">
        <v>190</v>
      </c>
      <c r="BO19" s="21" t="s">
        <v>6</v>
      </c>
      <c r="BP19" t="s">
        <v>185</v>
      </c>
      <c r="BR19" s="21" t="s">
        <v>296</v>
      </c>
      <c r="BS19" s="71">
        <v>12</v>
      </c>
      <c r="BT19" s="21">
        <v>2</v>
      </c>
      <c r="BU19" s="21">
        <v>0.15000000596046448</v>
      </c>
      <c r="BV19" s="21">
        <v>90</v>
      </c>
      <c r="BW19" s="21"/>
      <c r="BX19" s="21" t="s">
        <v>280</v>
      </c>
      <c r="BY19" s="21" t="b">
        <v>0</v>
      </c>
    </row>
    <row r="20" spans="4:77" x14ac:dyDescent="0.25">
      <c r="D20">
        <f>MATCH("Acier Rapide",TypeOutil)</f>
        <v>1</v>
      </c>
      <c r="O20" t="s">
        <v>30</v>
      </c>
      <c r="P20" s="17" t="s">
        <v>29</v>
      </c>
      <c r="Q20" t="str">
        <f>CONCATENATE($O$20,P20)</f>
        <v>N01</v>
      </c>
      <c r="AB20">
        <v>24</v>
      </c>
      <c r="AC20">
        <v>3</v>
      </c>
      <c r="AD20">
        <f t="shared" si="3"/>
        <v>21</v>
      </c>
      <c r="AE20">
        <v>10</v>
      </c>
      <c r="AF20" s="17" t="s">
        <v>69</v>
      </c>
      <c r="AG20">
        <v>2.3090000000000002</v>
      </c>
      <c r="BK20" s="21" t="s">
        <v>34</v>
      </c>
      <c r="BL20" s="21" t="s">
        <v>208</v>
      </c>
      <c r="BM20" s="21">
        <v>8</v>
      </c>
      <c r="BN20" s="21">
        <v>190</v>
      </c>
      <c r="BO20" s="21" t="s">
        <v>6</v>
      </c>
      <c r="BP20" t="s">
        <v>185</v>
      </c>
      <c r="BR20" s="21" t="s">
        <v>297</v>
      </c>
      <c r="BS20" s="71">
        <v>12.2</v>
      </c>
      <c r="BT20" s="21">
        <v>2</v>
      </c>
      <c r="BU20" s="21">
        <v>0.15000000596046448</v>
      </c>
      <c r="BV20" s="21">
        <v>90</v>
      </c>
      <c r="BW20" s="21"/>
      <c r="BX20" s="21" t="s">
        <v>280</v>
      </c>
      <c r="BY20" s="21" t="b">
        <v>0</v>
      </c>
    </row>
    <row r="21" spans="4:77" x14ac:dyDescent="0.25">
      <c r="P21" s="17">
        <v>10</v>
      </c>
      <c r="Q21" t="str">
        <f>CONCATENATE($O$20,P21)</f>
        <v>N10</v>
      </c>
      <c r="AB21">
        <v>27</v>
      </c>
      <c r="AC21">
        <v>3</v>
      </c>
      <c r="AD21">
        <f t="shared" si="3"/>
        <v>24</v>
      </c>
      <c r="AE21">
        <v>5</v>
      </c>
      <c r="AF21" s="17" t="s">
        <v>70</v>
      </c>
      <c r="AG21">
        <v>2.3090000000000002</v>
      </c>
      <c r="BK21" s="21" t="s">
        <v>34</v>
      </c>
      <c r="BL21" s="21" t="s">
        <v>209</v>
      </c>
      <c r="BM21" s="21">
        <v>8</v>
      </c>
      <c r="BN21" s="21">
        <v>190</v>
      </c>
      <c r="BO21" s="21" t="s">
        <v>6</v>
      </c>
      <c r="BP21" t="s">
        <v>185</v>
      </c>
      <c r="BR21" s="21" t="s">
        <v>298</v>
      </c>
      <c r="BS21" s="71">
        <v>12.5</v>
      </c>
      <c r="BT21" s="21">
        <v>2</v>
      </c>
      <c r="BU21" s="21">
        <v>0.15000000596046448</v>
      </c>
      <c r="BV21" s="21">
        <v>90</v>
      </c>
      <c r="BW21" s="21"/>
      <c r="BX21" s="21" t="s">
        <v>280</v>
      </c>
      <c r="BY21" s="21" t="b">
        <v>0</v>
      </c>
    </row>
    <row r="22" spans="4:77" x14ac:dyDescent="0.25">
      <c r="P22" s="17">
        <v>20</v>
      </c>
      <c r="Q22" t="str">
        <f>CONCATENATE($O$20,P22)</f>
        <v>N20</v>
      </c>
      <c r="AB22">
        <v>30</v>
      </c>
      <c r="AC22">
        <v>3.5</v>
      </c>
      <c r="AD22">
        <f t="shared" si="3"/>
        <v>26.5</v>
      </c>
      <c r="AE22">
        <v>5</v>
      </c>
      <c r="AF22" s="17" t="s">
        <v>71</v>
      </c>
      <c r="AG22">
        <v>2.3090000000000002</v>
      </c>
      <c r="BK22" s="21" t="s">
        <v>34</v>
      </c>
      <c r="BL22" s="21" t="s">
        <v>210</v>
      </c>
      <c r="BM22" s="21">
        <v>8</v>
      </c>
      <c r="BN22" s="21">
        <v>190</v>
      </c>
      <c r="BO22" s="21" t="s">
        <v>6</v>
      </c>
      <c r="BP22" t="s">
        <v>185</v>
      </c>
      <c r="BR22" s="21" t="s">
        <v>299</v>
      </c>
      <c r="BS22" s="71">
        <v>13</v>
      </c>
      <c r="BT22" s="21">
        <v>2</v>
      </c>
      <c r="BU22" s="21">
        <v>0.15000000596046448</v>
      </c>
      <c r="BV22" s="21">
        <v>90</v>
      </c>
      <c r="BW22" s="21"/>
      <c r="BX22" s="21" t="s">
        <v>280</v>
      </c>
      <c r="BY22" s="21" t="b">
        <v>0</v>
      </c>
    </row>
    <row r="23" spans="4:77" x14ac:dyDescent="0.25">
      <c r="P23" s="17">
        <v>30</v>
      </c>
      <c r="Q23" t="str">
        <f>CONCATENATE($O$20,P23)</f>
        <v>N30</v>
      </c>
      <c r="AB23">
        <v>33</v>
      </c>
      <c r="AC23">
        <v>3.5</v>
      </c>
      <c r="AD23">
        <f t="shared" si="3"/>
        <v>29.5</v>
      </c>
      <c r="AE23">
        <v>2</v>
      </c>
      <c r="AF23" s="17" t="s">
        <v>72</v>
      </c>
      <c r="AG23">
        <v>2.3090000000000002</v>
      </c>
      <c r="BK23" s="21" t="s">
        <v>34</v>
      </c>
      <c r="BL23" s="21" t="s">
        <v>34</v>
      </c>
      <c r="BM23" s="21">
        <v>8</v>
      </c>
      <c r="BN23" s="21">
        <v>190</v>
      </c>
      <c r="BO23" s="21" t="s">
        <v>6</v>
      </c>
      <c r="BP23" t="s">
        <v>185</v>
      </c>
      <c r="BR23" s="21" t="s">
        <v>300</v>
      </c>
      <c r="BS23" s="71">
        <v>14</v>
      </c>
      <c r="BT23" s="21">
        <v>2</v>
      </c>
      <c r="BU23" s="21">
        <v>0.15000000596046448</v>
      </c>
      <c r="BV23" s="21">
        <v>90</v>
      </c>
      <c r="BW23" s="21"/>
      <c r="BX23" s="21" t="s">
        <v>280</v>
      </c>
      <c r="BY23" s="21" t="b">
        <v>0</v>
      </c>
    </row>
    <row r="24" spans="4:77" x14ac:dyDescent="0.25">
      <c r="O24" t="s">
        <v>31</v>
      </c>
      <c r="P24" s="17" t="s">
        <v>29</v>
      </c>
      <c r="Q24" t="str">
        <f>CONCATENATE($O$24,P24)</f>
        <v>S01</v>
      </c>
      <c r="AB24">
        <v>36</v>
      </c>
      <c r="AC24">
        <v>4</v>
      </c>
      <c r="AD24">
        <f t="shared" si="3"/>
        <v>32</v>
      </c>
      <c r="AE24">
        <v>2</v>
      </c>
      <c r="AF24" s="17" t="s">
        <v>73</v>
      </c>
      <c r="AG24">
        <v>2.3090000000000002</v>
      </c>
      <c r="BK24" s="21" t="s">
        <v>34</v>
      </c>
      <c r="BL24" s="21" t="s">
        <v>211</v>
      </c>
      <c r="BM24" s="21">
        <v>8</v>
      </c>
      <c r="BN24" s="21">
        <v>190</v>
      </c>
      <c r="BO24" s="21" t="s">
        <v>6</v>
      </c>
      <c r="BP24" t="s">
        <v>185</v>
      </c>
      <c r="BR24" s="21" t="s">
        <v>301</v>
      </c>
      <c r="BS24" s="71">
        <v>14.5</v>
      </c>
      <c r="BT24" s="21">
        <v>2</v>
      </c>
      <c r="BU24" s="21">
        <v>0.15000000596046448</v>
      </c>
      <c r="BV24" s="21">
        <v>90</v>
      </c>
      <c r="BW24" s="21"/>
      <c r="BX24" s="21" t="s">
        <v>280</v>
      </c>
      <c r="BY24" s="21" t="b">
        <v>0</v>
      </c>
    </row>
    <row r="25" spans="4:77" x14ac:dyDescent="0.25">
      <c r="P25" s="17">
        <v>10</v>
      </c>
      <c r="Q25" t="str">
        <f>CONCATENATE($O$24,P25)</f>
        <v>S10</v>
      </c>
      <c r="AB25">
        <v>39</v>
      </c>
      <c r="AC25">
        <v>4</v>
      </c>
      <c r="AD25">
        <f t="shared" si="3"/>
        <v>35</v>
      </c>
      <c r="AE25">
        <v>2</v>
      </c>
      <c r="BK25" s="21" t="s">
        <v>34</v>
      </c>
      <c r="BL25" s="21" t="s">
        <v>212</v>
      </c>
      <c r="BM25" s="21">
        <v>8</v>
      </c>
      <c r="BN25" s="21">
        <v>190</v>
      </c>
      <c r="BO25" s="21" t="s">
        <v>6</v>
      </c>
      <c r="BP25" t="s">
        <v>185</v>
      </c>
      <c r="BR25" s="21" t="s">
        <v>302</v>
      </c>
      <c r="BS25" s="71">
        <v>14.5</v>
      </c>
      <c r="BT25" s="21">
        <v>2</v>
      </c>
      <c r="BU25" s="21">
        <v>5.000000074505806E-2</v>
      </c>
      <c r="BV25" s="21">
        <v>250</v>
      </c>
      <c r="BW25" s="21"/>
      <c r="BX25" s="21" t="s">
        <v>303</v>
      </c>
      <c r="BY25" s="21" t="b">
        <v>1</v>
      </c>
    </row>
    <row r="26" spans="4:77" x14ac:dyDescent="0.25">
      <c r="P26" s="17">
        <v>20</v>
      </c>
      <c r="Q26" t="str">
        <f>CONCATENATE($O$24,P26)</f>
        <v>S20</v>
      </c>
      <c r="AB26">
        <v>42</v>
      </c>
      <c r="AC26">
        <v>4.5</v>
      </c>
      <c r="AD26">
        <f t="shared" si="3"/>
        <v>37.5</v>
      </c>
      <c r="AE26">
        <v>2</v>
      </c>
      <c r="BK26" s="21" t="s">
        <v>34</v>
      </c>
      <c r="BL26" s="21" t="s">
        <v>213</v>
      </c>
      <c r="BM26" s="21">
        <v>8</v>
      </c>
      <c r="BN26" s="21">
        <v>190</v>
      </c>
      <c r="BO26" s="21" t="s">
        <v>6</v>
      </c>
      <c r="BP26" t="s">
        <v>185</v>
      </c>
      <c r="BR26" s="21" t="s">
        <v>304</v>
      </c>
      <c r="BS26" s="71">
        <v>15</v>
      </c>
      <c r="BT26" s="21">
        <v>2</v>
      </c>
      <c r="BU26" s="21">
        <v>5.000000074505806E-2</v>
      </c>
      <c r="BV26" s="21">
        <v>250</v>
      </c>
      <c r="BW26" s="21"/>
      <c r="BX26" s="21" t="s">
        <v>303</v>
      </c>
      <c r="BY26" s="21" t="b">
        <v>1</v>
      </c>
    </row>
    <row r="27" spans="4:77" x14ac:dyDescent="0.25">
      <c r="P27" s="17">
        <v>30</v>
      </c>
      <c r="Q27" t="str">
        <f>CONCATENATE($O$24,P27)</f>
        <v>S30</v>
      </c>
      <c r="AB27">
        <v>45</v>
      </c>
      <c r="AC27">
        <v>4.5</v>
      </c>
      <c r="AD27">
        <f t="shared" si="3"/>
        <v>40.5</v>
      </c>
      <c r="AE27">
        <v>2</v>
      </c>
      <c r="AF27" s="17"/>
      <c r="BK27" s="21" t="s">
        <v>34</v>
      </c>
      <c r="BL27" s="21" t="s">
        <v>214</v>
      </c>
      <c r="BM27" s="21">
        <v>8</v>
      </c>
      <c r="BN27" s="21">
        <v>190</v>
      </c>
      <c r="BO27" s="21" t="s">
        <v>6</v>
      </c>
      <c r="BP27" t="s">
        <v>185</v>
      </c>
      <c r="BR27" s="21" t="s">
        <v>252</v>
      </c>
      <c r="BS27" s="71">
        <v>16</v>
      </c>
      <c r="BT27" s="21">
        <v>2</v>
      </c>
      <c r="BU27" s="21">
        <v>5.000000074505806E-2</v>
      </c>
      <c r="BV27" s="21">
        <v>250</v>
      </c>
      <c r="BW27" s="21"/>
      <c r="BX27" s="21" t="s">
        <v>303</v>
      </c>
      <c r="BY27" s="21" t="b">
        <v>1</v>
      </c>
    </row>
    <row r="28" spans="4:77" x14ac:dyDescent="0.25">
      <c r="O28" t="s">
        <v>32</v>
      </c>
      <c r="P28" s="17" t="s">
        <v>29</v>
      </c>
      <c r="Q28" t="str">
        <f>CONCATENATE($O$28,P28)</f>
        <v>H01</v>
      </c>
      <c r="AB28">
        <v>48</v>
      </c>
      <c r="AC28">
        <v>5</v>
      </c>
      <c r="AD28">
        <f t="shared" si="3"/>
        <v>43</v>
      </c>
      <c r="AE28">
        <v>2</v>
      </c>
      <c r="AF28" s="17"/>
      <c r="BK28" s="21" t="s">
        <v>34</v>
      </c>
      <c r="BL28" s="21" t="s">
        <v>215</v>
      </c>
      <c r="BM28" s="21">
        <v>8</v>
      </c>
      <c r="BN28" s="21">
        <v>190</v>
      </c>
      <c r="BO28" s="21" t="s">
        <v>6</v>
      </c>
      <c r="BP28" t="s">
        <v>185</v>
      </c>
      <c r="BR28" s="21" t="s">
        <v>305</v>
      </c>
      <c r="BS28" s="71">
        <v>16.5</v>
      </c>
      <c r="BT28" s="21">
        <v>2</v>
      </c>
      <c r="BU28" s="21">
        <v>5.000000074505806E-2</v>
      </c>
      <c r="BV28" s="21">
        <v>250</v>
      </c>
      <c r="BW28" s="21"/>
      <c r="BX28" s="21" t="s">
        <v>303</v>
      </c>
      <c r="BY28" s="21" t="b">
        <v>1</v>
      </c>
    </row>
    <row r="29" spans="4:77" x14ac:dyDescent="0.25">
      <c r="P29" s="17">
        <v>10</v>
      </c>
      <c r="Q29" t="str">
        <f>CONCATENATE($O$28,P29)</f>
        <v>H10</v>
      </c>
      <c r="AB29">
        <v>52</v>
      </c>
      <c r="AC29">
        <v>5</v>
      </c>
      <c r="AD29">
        <f t="shared" si="3"/>
        <v>47</v>
      </c>
      <c r="AE29">
        <v>2</v>
      </c>
      <c r="AF29" s="17"/>
      <c r="BK29" s="21" t="s">
        <v>34</v>
      </c>
      <c r="BL29" s="21" t="s">
        <v>216</v>
      </c>
      <c r="BM29" s="21">
        <v>8</v>
      </c>
      <c r="BN29" s="21">
        <v>190</v>
      </c>
      <c r="BO29" s="21" t="s">
        <v>6</v>
      </c>
      <c r="BP29" t="s">
        <v>185</v>
      </c>
      <c r="BR29" s="21" t="s">
        <v>306</v>
      </c>
      <c r="BS29" s="71">
        <v>17</v>
      </c>
      <c r="BT29" s="21">
        <v>2</v>
      </c>
      <c r="BU29" s="21">
        <v>5.000000074505806E-2</v>
      </c>
      <c r="BV29" s="21">
        <v>250</v>
      </c>
      <c r="BW29" s="21"/>
      <c r="BX29" s="21" t="s">
        <v>303</v>
      </c>
      <c r="BY29" s="21" t="b">
        <v>1</v>
      </c>
    </row>
    <row r="30" spans="4:77" x14ac:dyDescent="0.25">
      <c r="P30" s="17">
        <v>20</v>
      </c>
      <c r="Q30" t="str">
        <f>CONCATENATE($O$28,P30)</f>
        <v>H20</v>
      </c>
      <c r="AB30">
        <v>56</v>
      </c>
      <c r="AC30">
        <v>5.5</v>
      </c>
      <c r="AD30">
        <f t="shared" si="3"/>
        <v>50.5</v>
      </c>
      <c r="AE30">
        <v>2</v>
      </c>
      <c r="AF30" s="17"/>
      <c r="BK30" s="21" t="s">
        <v>34</v>
      </c>
      <c r="BL30" s="21" t="s">
        <v>217</v>
      </c>
      <c r="BM30" s="21">
        <v>8</v>
      </c>
      <c r="BN30" s="21">
        <v>190</v>
      </c>
      <c r="BO30" s="21" t="s">
        <v>6</v>
      </c>
      <c r="BP30" t="s">
        <v>185</v>
      </c>
      <c r="BR30" s="21" t="s">
        <v>307</v>
      </c>
      <c r="BS30" s="71">
        <v>17.5</v>
      </c>
      <c r="BT30" s="21">
        <v>2</v>
      </c>
      <c r="BU30" s="21">
        <v>5.000000074505806E-2</v>
      </c>
      <c r="BV30" s="21">
        <v>250</v>
      </c>
      <c r="BW30" s="21"/>
      <c r="BX30" s="21" t="s">
        <v>303</v>
      </c>
      <c r="BY30" s="21" t="b">
        <v>1</v>
      </c>
    </row>
    <row r="31" spans="4:77" x14ac:dyDescent="0.25">
      <c r="P31" s="17">
        <v>30</v>
      </c>
      <c r="Q31" t="str">
        <f>CONCATENATE($O$28,P31)</f>
        <v>H30</v>
      </c>
      <c r="AB31">
        <v>60</v>
      </c>
      <c r="AC31">
        <v>5.5</v>
      </c>
      <c r="AD31">
        <f t="shared" si="3"/>
        <v>54.5</v>
      </c>
      <c r="AE31">
        <v>2</v>
      </c>
      <c r="AF31" s="17"/>
      <c r="BK31" s="21" t="s">
        <v>34</v>
      </c>
      <c r="BL31" s="21" t="s">
        <v>218</v>
      </c>
      <c r="BM31" s="21">
        <v>8</v>
      </c>
      <c r="BN31" s="21">
        <v>190</v>
      </c>
      <c r="BO31" s="21" t="s">
        <v>6</v>
      </c>
      <c r="BP31" t="s">
        <v>185</v>
      </c>
      <c r="BR31" s="21" t="s">
        <v>258</v>
      </c>
      <c r="BS31" s="71">
        <v>18</v>
      </c>
      <c r="BT31" s="21">
        <v>2</v>
      </c>
      <c r="BU31" s="21">
        <v>5.000000074505806E-2</v>
      </c>
      <c r="BV31" s="21">
        <v>250</v>
      </c>
      <c r="BW31" s="21"/>
      <c r="BX31" s="21" t="s">
        <v>303</v>
      </c>
      <c r="BY31" s="21" t="b">
        <v>1</v>
      </c>
    </row>
    <row r="32" spans="4:77" x14ac:dyDescent="0.25">
      <c r="AB32">
        <v>64</v>
      </c>
      <c r="AC32">
        <v>6</v>
      </c>
      <c r="AD32">
        <f t="shared" si="3"/>
        <v>58</v>
      </c>
      <c r="AE32">
        <v>2</v>
      </c>
      <c r="AF32" s="17"/>
      <c r="BK32" s="21" t="s">
        <v>34</v>
      </c>
      <c r="BL32" s="21" t="s">
        <v>219</v>
      </c>
      <c r="BM32" s="21">
        <v>8</v>
      </c>
      <c r="BN32" s="21">
        <v>190</v>
      </c>
      <c r="BO32" s="21" t="s">
        <v>6</v>
      </c>
      <c r="BP32" t="s">
        <v>185</v>
      </c>
      <c r="BR32" s="21" t="s">
        <v>308</v>
      </c>
      <c r="BS32" s="71">
        <v>19</v>
      </c>
      <c r="BT32" s="21">
        <v>2</v>
      </c>
      <c r="BU32" s="21">
        <v>5.000000074505806E-2</v>
      </c>
      <c r="BV32" s="21">
        <v>250</v>
      </c>
      <c r="BW32" s="21"/>
      <c r="BX32" s="21" t="s">
        <v>303</v>
      </c>
      <c r="BY32" s="21" t="b">
        <v>1</v>
      </c>
    </row>
    <row r="33" spans="63:77" x14ac:dyDescent="0.25">
      <c r="BK33" s="21" t="s">
        <v>34</v>
      </c>
      <c r="BL33" s="21" t="s">
        <v>220</v>
      </c>
      <c r="BM33" s="21">
        <v>8</v>
      </c>
      <c r="BN33" s="21">
        <v>190</v>
      </c>
      <c r="BO33" s="21" t="s">
        <v>6</v>
      </c>
      <c r="BP33" t="s">
        <v>185</v>
      </c>
      <c r="BR33" s="21" t="s">
        <v>253</v>
      </c>
      <c r="BS33" s="71">
        <v>20</v>
      </c>
      <c r="BT33" s="21">
        <v>2</v>
      </c>
      <c r="BU33" s="21">
        <v>5.000000074505806E-2</v>
      </c>
      <c r="BV33" s="21">
        <v>250</v>
      </c>
      <c r="BW33" s="21"/>
      <c r="BX33" s="21" t="s">
        <v>303</v>
      </c>
      <c r="BY33" s="21" t="b">
        <v>1</v>
      </c>
    </row>
    <row r="34" spans="63:77" x14ac:dyDescent="0.25">
      <c r="BK34" s="21" t="s">
        <v>34</v>
      </c>
      <c r="BL34" s="21" t="s">
        <v>221</v>
      </c>
      <c r="BM34" s="21">
        <v>8</v>
      </c>
      <c r="BN34" s="21">
        <v>190</v>
      </c>
      <c r="BO34" s="21" t="s">
        <v>6</v>
      </c>
      <c r="BP34" t="s">
        <v>185</v>
      </c>
      <c r="BR34" s="21" t="s">
        <v>309</v>
      </c>
      <c r="BS34" s="71">
        <v>20.5</v>
      </c>
      <c r="BT34" s="21">
        <v>2</v>
      </c>
      <c r="BU34" s="21">
        <v>5.000000074505806E-2</v>
      </c>
      <c r="BV34" s="21">
        <v>250</v>
      </c>
      <c r="BW34" s="21"/>
      <c r="BX34" s="21" t="s">
        <v>303</v>
      </c>
      <c r="BY34" s="21" t="b">
        <v>1</v>
      </c>
    </row>
    <row r="35" spans="63:77" x14ac:dyDescent="0.25">
      <c r="BK35" s="21" t="s">
        <v>34</v>
      </c>
      <c r="BL35" s="21" t="s">
        <v>222</v>
      </c>
      <c r="BM35" s="21">
        <v>8</v>
      </c>
      <c r="BN35" s="21">
        <v>190</v>
      </c>
      <c r="BO35" s="21" t="s">
        <v>6</v>
      </c>
      <c r="BP35" t="s">
        <v>185</v>
      </c>
      <c r="BR35" s="21" t="s">
        <v>310</v>
      </c>
      <c r="BS35" s="71">
        <v>21</v>
      </c>
      <c r="BT35" s="21">
        <v>2</v>
      </c>
      <c r="BU35" s="21">
        <v>5.000000074505806E-2</v>
      </c>
      <c r="BV35" s="21">
        <v>250</v>
      </c>
      <c r="BW35" s="21"/>
      <c r="BX35" s="21" t="s">
        <v>303</v>
      </c>
      <c r="BY35" s="21" t="b">
        <v>1</v>
      </c>
    </row>
    <row r="36" spans="63:77" x14ac:dyDescent="0.25">
      <c r="BK36" s="21" t="s">
        <v>34</v>
      </c>
      <c r="BL36" s="21" t="s">
        <v>223</v>
      </c>
      <c r="BM36" s="21">
        <v>8</v>
      </c>
      <c r="BN36" s="21">
        <v>190</v>
      </c>
      <c r="BO36" s="21" t="s">
        <v>6</v>
      </c>
      <c r="BP36" t="s">
        <v>185</v>
      </c>
      <c r="BR36" s="21" t="s">
        <v>311</v>
      </c>
      <c r="BS36" s="71">
        <v>22</v>
      </c>
      <c r="BT36" s="21">
        <v>2</v>
      </c>
      <c r="BU36" s="21">
        <v>5.000000074505806E-2</v>
      </c>
      <c r="BV36" s="21">
        <v>250</v>
      </c>
      <c r="BW36" s="21"/>
      <c r="BX36" s="21" t="s">
        <v>303</v>
      </c>
      <c r="BY36" s="21" t="b">
        <v>1</v>
      </c>
    </row>
    <row r="37" spans="63:77" x14ac:dyDescent="0.25">
      <c r="BK37" s="21" t="s">
        <v>34</v>
      </c>
      <c r="BL37" s="21" t="s">
        <v>224</v>
      </c>
      <c r="BM37" s="21">
        <v>8</v>
      </c>
      <c r="BN37" s="21">
        <v>190</v>
      </c>
      <c r="BO37" s="21" t="s">
        <v>6</v>
      </c>
      <c r="BP37" t="s">
        <v>185</v>
      </c>
      <c r="BR37" s="21" t="s">
        <v>312</v>
      </c>
      <c r="BS37" s="71">
        <v>23</v>
      </c>
      <c r="BT37" s="21">
        <v>3</v>
      </c>
      <c r="BU37" s="21">
        <v>5.000000074505806E-2</v>
      </c>
      <c r="BV37" s="21">
        <v>250</v>
      </c>
      <c r="BW37" s="21"/>
      <c r="BX37" s="21" t="s">
        <v>303</v>
      </c>
      <c r="BY37" s="21" t="b">
        <v>1</v>
      </c>
    </row>
    <row r="38" spans="63:77" x14ac:dyDescent="0.25">
      <c r="BK38" s="21" t="s">
        <v>34</v>
      </c>
      <c r="BL38" s="21" t="s">
        <v>225</v>
      </c>
      <c r="BM38" s="21">
        <v>8</v>
      </c>
      <c r="BN38" s="21">
        <v>190</v>
      </c>
      <c r="BO38" s="21" t="s">
        <v>6</v>
      </c>
      <c r="BP38" t="s">
        <v>185</v>
      </c>
      <c r="BR38" s="21" t="s">
        <v>313</v>
      </c>
      <c r="BS38" s="71">
        <v>24</v>
      </c>
      <c r="BT38" s="21">
        <v>2</v>
      </c>
      <c r="BU38" s="21">
        <v>5.000000074505806E-2</v>
      </c>
      <c r="BV38" s="21">
        <v>250</v>
      </c>
      <c r="BW38" s="21"/>
      <c r="BX38" s="21" t="s">
        <v>303</v>
      </c>
      <c r="BY38" s="21" t="b">
        <v>1</v>
      </c>
    </row>
    <row r="39" spans="63:77" x14ac:dyDescent="0.25">
      <c r="BK39" s="21" t="s">
        <v>34</v>
      </c>
      <c r="BL39" s="21" t="s">
        <v>226</v>
      </c>
      <c r="BM39" s="21">
        <v>8</v>
      </c>
      <c r="BN39" s="21">
        <v>190</v>
      </c>
      <c r="BO39" s="21" t="s">
        <v>6</v>
      </c>
      <c r="BP39" t="s">
        <v>185</v>
      </c>
      <c r="BR39" s="21" t="s">
        <v>314</v>
      </c>
      <c r="BS39" s="71">
        <v>24.5</v>
      </c>
      <c r="BT39" s="21">
        <v>2</v>
      </c>
      <c r="BU39" s="21">
        <v>5.000000074505806E-2</v>
      </c>
      <c r="BV39" s="21">
        <v>250</v>
      </c>
      <c r="BW39" s="21"/>
      <c r="BX39" s="21" t="s">
        <v>303</v>
      </c>
      <c r="BY39" s="21" t="b">
        <v>1</v>
      </c>
    </row>
    <row r="40" spans="63:77" x14ac:dyDescent="0.25">
      <c r="BK40" s="21" t="s">
        <v>34</v>
      </c>
      <c r="BL40" s="21" t="s">
        <v>227</v>
      </c>
      <c r="BM40" s="21">
        <v>8</v>
      </c>
      <c r="BN40" s="21">
        <v>190</v>
      </c>
      <c r="BO40" s="21" t="s">
        <v>6</v>
      </c>
      <c r="BP40" t="s">
        <v>185</v>
      </c>
      <c r="BR40" s="21" t="s">
        <v>254</v>
      </c>
      <c r="BS40" s="71">
        <v>25</v>
      </c>
      <c r="BT40" s="21">
        <v>2</v>
      </c>
      <c r="BU40" s="21">
        <v>5.000000074505806E-2</v>
      </c>
      <c r="BV40" s="21">
        <v>250</v>
      </c>
      <c r="BW40" s="21"/>
      <c r="BX40" s="21" t="s">
        <v>303</v>
      </c>
      <c r="BY40" s="21" t="b">
        <v>1</v>
      </c>
    </row>
    <row r="41" spans="63:77" x14ac:dyDescent="0.25">
      <c r="BK41" s="21" t="s">
        <v>34</v>
      </c>
      <c r="BL41" s="21" t="s">
        <v>228</v>
      </c>
      <c r="BM41" s="21">
        <v>8</v>
      </c>
      <c r="BN41" s="21">
        <v>190</v>
      </c>
      <c r="BO41" s="21" t="s">
        <v>6</v>
      </c>
      <c r="BP41" t="s">
        <v>185</v>
      </c>
      <c r="BR41" s="21" t="s">
        <v>315</v>
      </c>
      <c r="BS41" s="71">
        <v>26</v>
      </c>
      <c r="BT41" s="21">
        <v>2</v>
      </c>
      <c r="BU41" s="21">
        <v>5.000000074505806E-2</v>
      </c>
      <c r="BV41" s="21">
        <v>250</v>
      </c>
      <c r="BW41" s="21"/>
      <c r="BX41" s="21" t="s">
        <v>303</v>
      </c>
      <c r="BY41" s="21" t="b">
        <v>1</v>
      </c>
    </row>
    <row r="42" spans="63:77" x14ac:dyDescent="0.25">
      <c r="BK42" s="21" t="s">
        <v>34</v>
      </c>
      <c r="BL42" s="21" t="s">
        <v>229</v>
      </c>
      <c r="BM42" s="21">
        <v>8</v>
      </c>
      <c r="BN42" s="21">
        <v>190</v>
      </c>
      <c r="BO42" s="21" t="s">
        <v>6</v>
      </c>
      <c r="BP42" t="s">
        <v>185</v>
      </c>
      <c r="BR42" s="21" t="s">
        <v>316</v>
      </c>
      <c r="BS42" s="71">
        <v>26.5</v>
      </c>
      <c r="BT42" s="21">
        <v>2</v>
      </c>
      <c r="BU42" s="21">
        <v>5.000000074505806E-2</v>
      </c>
      <c r="BV42" s="21">
        <v>250</v>
      </c>
      <c r="BW42" s="21"/>
      <c r="BX42" s="21" t="s">
        <v>303</v>
      </c>
      <c r="BY42" s="21" t="b">
        <v>1</v>
      </c>
    </row>
    <row r="43" spans="63:77" x14ac:dyDescent="0.25">
      <c r="BK43" s="21" t="s">
        <v>34</v>
      </c>
      <c r="BL43" s="21" t="s">
        <v>230</v>
      </c>
      <c r="BM43" s="21">
        <v>8</v>
      </c>
      <c r="BN43" s="21">
        <v>190</v>
      </c>
      <c r="BO43" s="21" t="s">
        <v>6</v>
      </c>
      <c r="BP43" t="s">
        <v>185</v>
      </c>
      <c r="BR43" s="21" t="s">
        <v>317</v>
      </c>
      <c r="BS43" s="71">
        <v>29.5</v>
      </c>
      <c r="BT43" s="21">
        <v>2</v>
      </c>
      <c r="BU43" s="21">
        <v>5.000000074505806E-2</v>
      </c>
      <c r="BV43" s="21">
        <v>250</v>
      </c>
      <c r="BW43" s="21"/>
      <c r="BX43" s="21" t="s">
        <v>303</v>
      </c>
      <c r="BY43" s="21" t="b">
        <v>1</v>
      </c>
    </row>
    <row r="44" spans="63:77" x14ac:dyDescent="0.25">
      <c r="BK44" s="21" t="s">
        <v>34</v>
      </c>
      <c r="BL44" s="21" t="s">
        <v>231</v>
      </c>
      <c r="BM44" s="21">
        <v>8</v>
      </c>
      <c r="BN44" s="21">
        <v>190</v>
      </c>
      <c r="BO44" s="21" t="s">
        <v>6</v>
      </c>
      <c r="BP44" t="s">
        <v>185</v>
      </c>
      <c r="BR44" s="21" t="s">
        <v>318</v>
      </c>
      <c r="BS44" s="71">
        <v>30</v>
      </c>
      <c r="BT44" s="21">
        <v>2</v>
      </c>
      <c r="BU44" s="21">
        <v>5.000000074505806E-2</v>
      </c>
      <c r="BV44" s="21">
        <v>250</v>
      </c>
      <c r="BW44" s="21"/>
      <c r="BX44" s="21" t="s">
        <v>303</v>
      </c>
      <c r="BY44" s="21" t="b">
        <v>1</v>
      </c>
    </row>
    <row r="45" spans="63:77" x14ac:dyDescent="0.25">
      <c r="BK45" s="21" t="s">
        <v>34</v>
      </c>
      <c r="BL45" s="21" t="s">
        <v>232</v>
      </c>
      <c r="BM45" s="21">
        <v>8</v>
      </c>
      <c r="BN45" s="21">
        <v>190</v>
      </c>
      <c r="BO45" s="21" t="s">
        <v>6</v>
      </c>
      <c r="BP45" t="s">
        <v>185</v>
      </c>
      <c r="BR45" s="21" t="s">
        <v>319</v>
      </c>
      <c r="BS45" s="71">
        <v>35</v>
      </c>
      <c r="BT45" s="21">
        <v>2</v>
      </c>
      <c r="BU45" s="21">
        <v>5.000000074505806E-2</v>
      </c>
      <c r="BV45" s="21">
        <v>250</v>
      </c>
      <c r="BW45" s="21"/>
      <c r="BX45" s="21" t="s">
        <v>303</v>
      </c>
      <c r="BY45" s="21" t="b">
        <v>1</v>
      </c>
    </row>
    <row r="46" spans="63:77" x14ac:dyDescent="0.25">
      <c r="BK46" s="21" t="s">
        <v>34</v>
      </c>
      <c r="BL46" s="21" t="s">
        <v>233</v>
      </c>
      <c r="BM46" s="21">
        <v>8</v>
      </c>
      <c r="BN46" s="21">
        <v>190</v>
      </c>
      <c r="BO46" s="21" t="s">
        <v>6</v>
      </c>
      <c r="BP46" t="s">
        <v>185</v>
      </c>
      <c r="BR46" s="21" t="s">
        <v>320</v>
      </c>
      <c r="BS46" s="71">
        <v>38</v>
      </c>
      <c r="BT46" s="21">
        <v>2</v>
      </c>
      <c r="BU46" s="21">
        <v>5.000000074505806E-2</v>
      </c>
      <c r="BV46" s="21">
        <v>250</v>
      </c>
      <c r="BW46" s="21"/>
      <c r="BX46" s="21" t="s">
        <v>303</v>
      </c>
      <c r="BY46" s="21" t="b">
        <v>1</v>
      </c>
    </row>
    <row r="47" spans="63:77" x14ac:dyDescent="0.25">
      <c r="BK47" s="21" t="s">
        <v>34</v>
      </c>
      <c r="BL47" s="21" t="s">
        <v>234</v>
      </c>
      <c r="BM47" s="21">
        <v>8</v>
      </c>
      <c r="BN47" s="21">
        <v>190</v>
      </c>
      <c r="BO47" s="21" t="s">
        <v>6</v>
      </c>
      <c r="BP47" t="s">
        <v>185</v>
      </c>
      <c r="BR47" s="21" t="s">
        <v>172</v>
      </c>
      <c r="BS47" s="71">
        <v>40</v>
      </c>
      <c r="BT47" s="21">
        <v>2</v>
      </c>
      <c r="BU47" s="21">
        <v>5.000000074505806E-2</v>
      </c>
      <c r="BV47" s="21">
        <v>250</v>
      </c>
      <c r="BW47" s="21"/>
      <c r="BX47" s="21" t="s">
        <v>303</v>
      </c>
      <c r="BY47" s="21" t="b">
        <v>1</v>
      </c>
    </row>
    <row r="48" spans="63:77" x14ac:dyDescent="0.25">
      <c r="BK48" s="21" t="s">
        <v>34</v>
      </c>
      <c r="BL48" s="21" t="s">
        <v>235</v>
      </c>
      <c r="BM48" s="21">
        <v>8</v>
      </c>
      <c r="BN48" s="21">
        <v>190</v>
      </c>
      <c r="BO48" s="21" t="s">
        <v>6</v>
      </c>
      <c r="BP48" t="s">
        <v>185</v>
      </c>
      <c r="BR48" s="21" t="s">
        <v>321</v>
      </c>
      <c r="BS48" s="71">
        <v>42</v>
      </c>
      <c r="BT48" s="21">
        <v>2</v>
      </c>
      <c r="BU48" s="21">
        <v>5.000000074505806E-2</v>
      </c>
      <c r="BV48" s="21">
        <v>250</v>
      </c>
      <c r="BW48" s="21"/>
      <c r="BX48" s="21" t="s">
        <v>303</v>
      </c>
      <c r="BY48" s="21" t="b">
        <v>1</v>
      </c>
    </row>
    <row r="49" spans="63:68" x14ac:dyDescent="0.25">
      <c r="BK49" s="21" t="s">
        <v>34</v>
      </c>
      <c r="BL49" s="21" t="s">
        <v>236</v>
      </c>
      <c r="BM49" s="21">
        <v>8</v>
      </c>
      <c r="BN49" s="21">
        <v>190</v>
      </c>
      <c r="BO49" s="21" t="s">
        <v>6</v>
      </c>
      <c r="BP49" t="s">
        <v>185</v>
      </c>
    </row>
    <row r="50" spans="63:68" x14ac:dyDescent="0.25">
      <c r="BK50" s="21" t="s">
        <v>189</v>
      </c>
      <c r="BL50" s="21" t="s">
        <v>237</v>
      </c>
      <c r="BM50" s="21">
        <v>8</v>
      </c>
      <c r="BN50" s="21">
        <v>190</v>
      </c>
      <c r="BO50" s="21" t="s">
        <v>6</v>
      </c>
      <c r="BP50" t="s">
        <v>185</v>
      </c>
    </row>
    <row r="51" spans="63:68" x14ac:dyDescent="0.25">
      <c r="BK51" s="21" t="s">
        <v>189</v>
      </c>
      <c r="BL51" s="21" t="s">
        <v>238</v>
      </c>
      <c r="BM51" s="21">
        <v>8</v>
      </c>
      <c r="BN51" s="21">
        <v>190</v>
      </c>
      <c r="BO51" s="21" t="s">
        <v>6</v>
      </c>
      <c r="BP51" t="s">
        <v>185</v>
      </c>
    </row>
    <row r="52" spans="63:68" x14ac:dyDescent="0.25">
      <c r="BK52" s="21" t="s">
        <v>189</v>
      </c>
      <c r="BL52" s="21" t="s">
        <v>239</v>
      </c>
      <c r="BM52" s="21">
        <v>8</v>
      </c>
      <c r="BN52" s="21">
        <v>190</v>
      </c>
      <c r="BO52" s="21" t="s">
        <v>6</v>
      </c>
      <c r="BP52" t="s">
        <v>185</v>
      </c>
    </row>
    <row r="53" spans="63:68" x14ac:dyDescent="0.25">
      <c r="BK53" s="21" t="s">
        <v>189</v>
      </c>
      <c r="BL53" s="21" t="s">
        <v>240</v>
      </c>
      <c r="BM53" s="21">
        <v>8</v>
      </c>
      <c r="BN53" s="21">
        <v>190</v>
      </c>
      <c r="BO53" s="21" t="s">
        <v>6</v>
      </c>
      <c r="BP53" t="s">
        <v>185</v>
      </c>
    </row>
    <row r="54" spans="63:68" x14ac:dyDescent="0.25">
      <c r="BK54" s="21" t="s">
        <v>189</v>
      </c>
      <c r="BL54" s="21" t="s">
        <v>241</v>
      </c>
      <c r="BM54" s="21">
        <v>8</v>
      </c>
      <c r="BN54" s="21">
        <v>190</v>
      </c>
      <c r="BO54" s="21" t="s">
        <v>6</v>
      </c>
      <c r="BP54" t="s">
        <v>185</v>
      </c>
    </row>
    <row r="55" spans="63:68" x14ac:dyDescent="0.25">
      <c r="BK55" s="21" t="s">
        <v>189</v>
      </c>
      <c r="BL55" s="21" t="s">
        <v>242</v>
      </c>
      <c r="BM55" s="21">
        <v>8</v>
      </c>
      <c r="BN55" s="21">
        <v>190</v>
      </c>
      <c r="BO55" s="21" t="s">
        <v>6</v>
      </c>
      <c r="BP55" t="s">
        <v>185</v>
      </c>
    </row>
    <row r="56" spans="63:68" x14ac:dyDescent="0.25">
      <c r="BK56" s="21" t="s">
        <v>184</v>
      </c>
      <c r="BL56" s="21" t="s">
        <v>184</v>
      </c>
      <c r="BM56" s="21">
        <v>8</v>
      </c>
      <c r="BN56" s="21">
        <v>250</v>
      </c>
      <c r="BO56" s="21" t="s">
        <v>6</v>
      </c>
      <c r="BP56" t="s">
        <v>185</v>
      </c>
    </row>
    <row r="57" spans="63:68" x14ac:dyDescent="0.25">
      <c r="BK57" s="21" t="s">
        <v>186</v>
      </c>
      <c r="BL57" s="21" t="s">
        <v>186</v>
      </c>
      <c r="BM57" s="21">
        <v>8</v>
      </c>
      <c r="BN57" s="21">
        <v>320</v>
      </c>
      <c r="BO57" s="21" t="s">
        <v>6</v>
      </c>
      <c r="BP57" t="s">
        <v>185</v>
      </c>
    </row>
    <row r="58" spans="63:68" x14ac:dyDescent="0.25">
      <c r="BK58" s="21" t="s">
        <v>187</v>
      </c>
      <c r="BL58" s="21" t="s">
        <v>187</v>
      </c>
      <c r="BM58" s="21">
        <v>8</v>
      </c>
      <c r="BN58" s="21">
        <v>400</v>
      </c>
      <c r="BO58" s="21" t="s">
        <v>6</v>
      </c>
      <c r="BP58" t="s">
        <v>185</v>
      </c>
    </row>
    <row r="59" spans="63:68" x14ac:dyDescent="0.25">
      <c r="BK59" s="21" t="s">
        <v>188</v>
      </c>
      <c r="BL59" s="21" t="s">
        <v>188</v>
      </c>
      <c r="BM59" s="21">
        <v>8</v>
      </c>
      <c r="BN59" s="21">
        <v>500</v>
      </c>
      <c r="BO59" s="21" t="s">
        <v>6</v>
      </c>
      <c r="BP59" t="s">
        <v>185</v>
      </c>
    </row>
  </sheetData>
  <sortState ref="A4:A9">
    <sortCondition ref="A3:A8"/>
  </sortState>
  <mergeCells count="15">
    <mergeCell ref="K15:M15"/>
    <mergeCell ref="I2:I3"/>
    <mergeCell ref="K2:M2"/>
    <mergeCell ref="I4:I7"/>
    <mergeCell ref="I9:I11"/>
    <mergeCell ref="I12:I14"/>
    <mergeCell ref="AV1:AY1"/>
    <mergeCell ref="AP1:AT1"/>
    <mergeCell ref="I1:M1"/>
    <mergeCell ref="BA1:BD1"/>
    <mergeCell ref="S1:U1"/>
    <mergeCell ref="AB1:AH1"/>
    <mergeCell ref="O1:Q1"/>
    <mergeCell ref="AJ1:AN1"/>
    <mergeCell ref="W1:Z1"/>
  </mergeCells>
  <pageMargins left="0.7" right="0.7" top="0.75" bottom="0.75" header="0.3" footer="0.3"/>
  <pageSetup paperSize="9" orientation="portrait" r:id="rId1"/>
  <tableParts count="2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O13"/>
  <sheetViews>
    <sheetView workbookViewId="0">
      <selection activeCell="K11" sqref="K11"/>
    </sheetView>
  </sheetViews>
  <sheetFormatPr baseColWidth="10" defaultRowHeight="15" x14ac:dyDescent="0.25"/>
  <cols>
    <col min="1" max="16384" width="11.42578125" style="21"/>
  </cols>
  <sheetData>
    <row r="1" spans="1:15" ht="19.5" thickBot="1" x14ac:dyDescent="0.35">
      <c r="A1" s="133" t="s">
        <v>116</v>
      </c>
      <c r="B1" s="133"/>
      <c r="C1" s="133"/>
      <c r="D1" s="133"/>
      <c r="E1" s="133"/>
      <c r="F1" s="133"/>
      <c r="G1" s="133"/>
      <c r="J1" s="33" t="s">
        <v>117</v>
      </c>
      <c r="K1" s="33" t="s">
        <v>118</v>
      </c>
    </row>
    <row r="2" spans="1:15" ht="15.75" thickBot="1" x14ac:dyDescent="0.3">
      <c r="A2" s="34" t="s">
        <v>119</v>
      </c>
      <c r="B2" s="134">
        <v>499</v>
      </c>
      <c r="C2" s="136">
        <v>999</v>
      </c>
      <c r="D2" s="136">
        <v>1499</v>
      </c>
      <c r="E2" s="136">
        <v>1999</v>
      </c>
      <c r="F2" s="136">
        <v>3999</v>
      </c>
      <c r="G2" s="138">
        <v>8000</v>
      </c>
      <c r="J2" s="21">
        <f>'Calcul Sequence'!G2</f>
        <v>250</v>
      </c>
      <c r="K2" s="21">
        <f>'Calcul Sequence'!G1</f>
        <v>4.3</v>
      </c>
    </row>
    <row r="3" spans="1:15" ht="15.75" thickBot="1" x14ac:dyDescent="0.3">
      <c r="A3" s="35" t="s">
        <v>120</v>
      </c>
      <c r="B3" s="135"/>
      <c r="C3" s="137"/>
      <c r="D3" s="137"/>
      <c r="E3" s="137"/>
      <c r="F3" s="137"/>
      <c r="G3" s="139"/>
      <c r="J3" s="21" t="e">
        <f>HLOOKUP(J2,B2:G2,1)</f>
        <v>#N/A</v>
      </c>
      <c r="K3" s="21">
        <f>VLOOKUP(K2,A4:A13,1)</f>
        <v>1</v>
      </c>
      <c r="L3" s="21" t="s">
        <v>121</v>
      </c>
      <c r="O3" s="21">
        <f>2.2/0.036</f>
        <v>61.111111111111121</v>
      </c>
    </row>
    <row r="4" spans="1:15" x14ac:dyDescent="0.25">
      <c r="A4" s="36">
        <v>1</v>
      </c>
      <c r="B4" s="37">
        <v>0.03</v>
      </c>
      <c r="C4" s="38">
        <v>0</v>
      </c>
      <c r="D4" s="38">
        <v>0</v>
      </c>
      <c r="E4" s="38">
        <v>0</v>
      </c>
      <c r="F4" s="38">
        <v>0</v>
      </c>
      <c r="G4" s="38">
        <v>0</v>
      </c>
      <c r="J4" s="21" t="e">
        <f>MATCH(J3,B2:G2)+1</f>
        <v>#N/A</v>
      </c>
      <c r="K4" s="21">
        <f>MATCH(K3,A4:A13,1)+1</f>
        <v>2</v>
      </c>
      <c r="L4" s="21" t="s">
        <v>122</v>
      </c>
    </row>
    <row r="5" spans="1:15" x14ac:dyDescent="0.25">
      <c r="A5" s="39">
        <v>5</v>
      </c>
      <c r="B5" s="37">
        <v>0.05</v>
      </c>
      <c r="C5" s="38">
        <v>0.06</v>
      </c>
      <c r="D5" s="38">
        <v>0</v>
      </c>
      <c r="E5" s="38">
        <v>0</v>
      </c>
      <c r="F5" s="38">
        <v>0</v>
      </c>
      <c r="G5" s="38">
        <v>0</v>
      </c>
    </row>
    <row r="6" spans="1:15" x14ac:dyDescent="0.25">
      <c r="A6" s="40">
        <v>10</v>
      </c>
      <c r="B6" s="37">
        <v>0.08</v>
      </c>
      <c r="C6" s="38">
        <v>0.15</v>
      </c>
      <c r="D6" s="38">
        <v>0.35</v>
      </c>
      <c r="E6" s="38">
        <v>0</v>
      </c>
      <c r="F6" s="38">
        <v>0</v>
      </c>
      <c r="G6" s="38">
        <v>0</v>
      </c>
      <c r="J6" s="21" t="e">
        <f>INDEX(B4:G13,K4,J4)</f>
        <v>#N/A</v>
      </c>
      <c r="K6" s="21">
        <f>IF(ISNA(J6),0, ROUNDUP( J6/0.036,0))</f>
        <v>0</v>
      </c>
      <c r="L6" s="21" t="s">
        <v>123</v>
      </c>
    </row>
    <row r="7" spans="1:15" x14ac:dyDescent="0.25">
      <c r="A7" s="40">
        <v>15</v>
      </c>
      <c r="B7" s="37">
        <v>0.1</v>
      </c>
      <c r="C7" s="38">
        <v>0.35</v>
      </c>
      <c r="D7" s="38">
        <v>0.42</v>
      </c>
      <c r="E7" s="38">
        <v>0.5</v>
      </c>
      <c r="F7" s="38">
        <v>0</v>
      </c>
      <c r="G7" s="38">
        <v>0</v>
      </c>
      <c r="K7" s="21">
        <f>IF(OR(J2&gt;1000,K2&gt;=20),ROUNDUP(K6*1.5,0),1)</f>
        <v>1</v>
      </c>
      <c r="L7" s="21" t="s">
        <v>124</v>
      </c>
    </row>
    <row r="8" spans="1:15" x14ac:dyDescent="0.25">
      <c r="A8" s="40">
        <v>20</v>
      </c>
      <c r="B8" s="37">
        <v>0.1</v>
      </c>
      <c r="C8" s="38">
        <v>0.5</v>
      </c>
      <c r="D8" s="38">
        <v>0.5</v>
      </c>
      <c r="E8" s="38">
        <v>0.92</v>
      </c>
      <c r="F8" s="38">
        <v>0.92</v>
      </c>
      <c r="G8" s="38">
        <v>0</v>
      </c>
    </row>
    <row r="9" spans="1:15" x14ac:dyDescent="0.25">
      <c r="A9" s="36">
        <v>80</v>
      </c>
      <c r="B9" s="41">
        <v>0.75</v>
      </c>
      <c r="C9" s="42">
        <v>0.75</v>
      </c>
      <c r="D9" s="42">
        <v>1</v>
      </c>
      <c r="E9" s="42">
        <v>1</v>
      </c>
      <c r="F9" s="42">
        <v>2.2000000000000002</v>
      </c>
      <c r="G9" s="43">
        <v>3</v>
      </c>
    </row>
    <row r="10" spans="1:15" x14ac:dyDescent="0.25">
      <c r="A10" s="36">
        <v>250</v>
      </c>
      <c r="B10" s="44">
        <v>1</v>
      </c>
      <c r="C10" s="42">
        <v>1</v>
      </c>
      <c r="D10" s="42">
        <v>1.5</v>
      </c>
      <c r="E10" s="42">
        <v>1.5</v>
      </c>
      <c r="F10" s="42">
        <v>2</v>
      </c>
      <c r="G10" s="43">
        <v>3</v>
      </c>
      <c r="J10" s="21">
        <f>K2</f>
        <v>4.3</v>
      </c>
      <c r="K10" s="21">
        <f>ROUNDUP(0.002*POWER(J10,2)+1.03*J10+0.73,0)</f>
        <v>6</v>
      </c>
      <c r="L10" s="21">
        <f>K10*0.036</f>
        <v>0.21599999999999997</v>
      </c>
    </row>
    <row r="11" spans="1:15" x14ac:dyDescent="0.25">
      <c r="A11" s="36">
        <v>500</v>
      </c>
      <c r="B11" s="44">
        <v>1</v>
      </c>
      <c r="C11" s="44">
        <v>1</v>
      </c>
      <c r="D11" s="42">
        <v>2</v>
      </c>
      <c r="E11" s="42">
        <v>2.5</v>
      </c>
      <c r="F11" s="43">
        <v>3</v>
      </c>
      <c r="G11" s="43">
        <v>4</v>
      </c>
      <c r="K11" s="21">
        <f>IF(OR(J2&gt;1000,K10&gt;=20),ROUNDUP(J10*0.8,0),1)</f>
        <v>1</v>
      </c>
    </row>
    <row r="12" spans="1:15" x14ac:dyDescent="0.25">
      <c r="A12" s="36">
        <v>1000</v>
      </c>
      <c r="B12" s="44">
        <v>2</v>
      </c>
      <c r="C12" s="43">
        <v>2.5</v>
      </c>
      <c r="D12" s="43">
        <v>2.5</v>
      </c>
      <c r="E12" s="43">
        <v>3</v>
      </c>
      <c r="F12" s="43">
        <v>4</v>
      </c>
      <c r="G12" s="43">
        <v>4</v>
      </c>
    </row>
    <row r="13" spans="1:15" ht="15.75" thickBot="1" x14ac:dyDescent="0.3">
      <c r="A13" s="45">
        <v>3000</v>
      </c>
      <c r="B13" s="43">
        <v>4</v>
      </c>
      <c r="C13" s="43">
        <v>4</v>
      </c>
      <c r="D13" s="43">
        <v>4</v>
      </c>
      <c r="E13" s="43">
        <v>4</v>
      </c>
      <c r="F13" s="43">
        <v>5</v>
      </c>
      <c r="G13" s="43">
        <v>5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2:H35"/>
  <sheetViews>
    <sheetView view="pageBreakPreview" zoomScale="60" zoomScaleNormal="100" workbookViewId="0">
      <selection activeCell="N15" sqref="N15"/>
    </sheetView>
  </sheetViews>
  <sheetFormatPr baseColWidth="10" defaultRowHeight="15" x14ac:dyDescent="0.25"/>
  <cols>
    <col min="2" max="2" width="26.85546875" customWidth="1"/>
    <col min="3" max="3" width="21.5703125" style="21" customWidth="1"/>
    <col min="4" max="4" width="14.28515625" customWidth="1"/>
    <col min="5" max="5" width="19.42578125" customWidth="1"/>
    <col min="6" max="6" width="14.7109375" customWidth="1"/>
    <col min="7" max="7" width="19.7109375" bestFit="1" customWidth="1"/>
    <col min="8" max="8" width="21.28515625" bestFit="1" customWidth="1"/>
  </cols>
  <sheetData>
    <row r="2" spans="1:8" ht="19.5" thickBot="1" x14ac:dyDescent="0.35">
      <c r="B2" s="69" t="s">
        <v>146</v>
      </c>
      <c r="C2" s="69" t="s">
        <v>150</v>
      </c>
      <c r="D2" s="69" t="s">
        <v>77</v>
      </c>
      <c r="E2" s="69" t="s">
        <v>147</v>
      </c>
      <c r="F2" s="69" t="s">
        <v>85</v>
      </c>
      <c r="G2" s="69" t="s">
        <v>148</v>
      </c>
      <c r="H2" s="69" t="s">
        <v>149</v>
      </c>
    </row>
    <row r="3" spans="1:8" ht="19.5" thickTop="1" x14ac:dyDescent="0.3">
      <c r="A3" s="27"/>
      <c r="B3" s="27"/>
      <c r="C3" s="27"/>
      <c r="D3" s="27"/>
      <c r="E3" s="27"/>
      <c r="F3" s="27"/>
      <c r="G3" s="27"/>
      <c r="H3" s="27"/>
    </row>
    <row r="4" spans="1:8" ht="18.75" x14ac:dyDescent="0.3">
      <c r="A4" s="27"/>
      <c r="B4" s="27"/>
      <c r="C4" s="27"/>
      <c r="D4" s="27"/>
      <c r="E4" s="27"/>
      <c r="F4" s="27"/>
      <c r="G4" s="27"/>
      <c r="H4" s="27"/>
    </row>
    <row r="5" spans="1:8" ht="18.75" x14ac:dyDescent="0.3">
      <c r="A5" s="27"/>
      <c r="B5" s="27"/>
      <c r="C5" s="27"/>
      <c r="D5" s="27"/>
      <c r="E5" s="27"/>
      <c r="F5" s="27"/>
      <c r="G5" s="27"/>
      <c r="H5" s="27"/>
    </row>
    <row r="6" spans="1:8" ht="18.75" x14ac:dyDescent="0.3">
      <c r="A6" s="27"/>
      <c r="B6" s="27"/>
      <c r="C6" s="27"/>
      <c r="D6" s="27"/>
      <c r="E6" s="27"/>
      <c r="F6" s="27"/>
      <c r="G6" s="27"/>
      <c r="H6" s="27"/>
    </row>
    <row r="7" spans="1:8" ht="18.75" x14ac:dyDescent="0.3">
      <c r="A7" s="27"/>
      <c r="B7" s="27"/>
      <c r="C7" s="27"/>
      <c r="D7" s="27"/>
      <c r="E7" s="27"/>
      <c r="F7" s="27"/>
      <c r="G7" s="27"/>
      <c r="H7" s="27"/>
    </row>
    <row r="8" spans="1:8" ht="18.75" x14ac:dyDescent="0.3">
      <c r="A8" s="27"/>
      <c r="B8" s="27"/>
      <c r="C8" s="27"/>
      <c r="D8" s="27"/>
      <c r="E8" s="27"/>
      <c r="F8" s="27"/>
      <c r="G8" s="27"/>
      <c r="H8" s="27"/>
    </row>
    <row r="9" spans="1:8" ht="18.75" x14ac:dyDescent="0.3">
      <c r="A9" s="27"/>
      <c r="B9" s="27"/>
      <c r="C9" s="27"/>
      <c r="D9" s="27"/>
      <c r="E9" s="27"/>
      <c r="F9" s="27"/>
      <c r="G9" s="27"/>
      <c r="H9" s="27"/>
    </row>
    <row r="10" spans="1:8" ht="18.75" x14ac:dyDescent="0.3">
      <c r="A10" s="27"/>
      <c r="B10" s="27"/>
      <c r="C10" s="27"/>
      <c r="D10" s="27"/>
      <c r="E10" s="27"/>
      <c r="F10" s="27"/>
      <c r="G10" s="27"/>
      <c r="H10" s="27"/>
    </row>
    <row r="11" spans="1:8" ht="18.75" x14ac:dyDescent="0.3">
      <c r="A11" s="27"/>
      <c r="B11" s="27"/>
      <c r="C11" s="27"/>
      <c r="D11" s="27"/>
      <c r="E11" s="27"/>
      <c r="F11" s="27"/>
      <c r="G11" s="27"/>
      <c r="H11" s="27"/>
    </row>
    <row r="12" spans="1:8" ht="18.75" x14ac:dyDescent="0.3">
      <c r="A12" s="27"/>
      <c r="B12" s="27"/>
      <c r="C12" s="27"/>
      <c r="D12" s="27"/>
      <c r="E12" s="27"/>
      <c r="F12" s="27"/>
      <c r="G12" s="27"/>
      <c r="H12" s="27"/>
    </row>
    <row r="13" spans="1:8" ht="18.75" x14ac:dyDescent="0.3">
      <c r="A13" s="27"/>
      <c r="B13" s="27"/>
      <c r="C13" s="27"/>
      <c r="D13" s="27"/>
      <c r="E13" s="27"/>
      <c r="F13" s="27"/>
      <c r="G13" s="27"/>
      <c r="H13" s="27"/>
    </row>
    <row r="14" spans="1:8" ht="18.75" x14ac:dyDescent="0.3">
      <c r="A14" s="27"/>
      <c r="B14" s="27"/>
      <c r="C14" s="27"/>
      <c r="D14" s="27"/>
      <c r="E14" s="27"/>
      <c r="F14" s="27"/>
      <c r="G14" s="27"/>
      <c r="H14" s="27"/>
    </row>
    <row r="15" spans="1:8" ht="18.75" x14ac:dyDescent="0.3">
      <c r="A15" s="27"/>
      <c r="B15" s="27"/>
      <c r="C15" s="27"/>
      <c r="D15" s="27"/>
      <c r="E15" s="27"/>
      <c r="F15" s="27"/>
      <c r="G15" s="27"/>
      <c r="H15" s="27"/>
    </row>
    <row r="16" spans="1:8" ht="18.75" x14ac:dyDescent="0.3">
      <c r="A16" s="27"/>
      <c r="B16" s="27"/>
      <c r="C16" s="27"/>
      <c r="D16" s="27"/>
      <c r="E16" s="27"/>
      <c r="F16" s="27"/>
      <c r="G16" s="27"/>
      <c r="H16" s="27"/>
    </row>
    <row r="17" spans="1:8" ht="18.75" x14ac:dyDescent="0.3">
      <c r="A17" s="27"/>
      <c r="B17" s="27"/>
      <c r="C17" s="27"/>
      <c r="D17" s="27"/>
      <c r="E17" s="27"/>
      <c r="F17" s="27"/>
      <c r="G17" s="27"/>
      <c r="H17" s="27"/>
    </row>
    <row r="18" spans="1:8" ht="18.75" x14ac:dyDescent="0.3">
      <c r="A18" s="27"/>
      <c r="B18" s="27"/>
      <c r="C18" s="27"/>
      <c r="D18" s="27"/>
      <c r="E18" s="27"/>
      <c r="F18" s="27"/>
      <c r="G18" s="27"/>
      <c r="H18" s="27"/>
    </row>
    <row r="19" spans="1:8" ht="18.75" x14ac:dyDescent="0.3">
      <c r="A19" s="27"/>
      <c r="B19" s="27"/>
      <c r="C19" s="27"/>
      <c r="D19" s="27"/>
      <c r="E19" s="27"/>
      <c r="F19" s="27"/>
      <c r="G19" s="27"/>
      <c r="H19" s="27"/>
    </row>
    <row r="20" spans="1:8" ht="18.75" x14ac:dyDescent="0.3">
      <c r="A20" s="27"/>
      <c r="B20" s="27"/>
      <c r="C20" s="27"/>
      <c r="D20" s="27"/>
      <c r="E20" s="27"/>
      <c r="F20" s="27"/>
      <c r="G20" s="27"/>
      <c r="H20" s="27"/>
    </row>
    <row r="21" spans="1:8" ht="18.75" x14ac:dyDescent="0.3">
      <c r="A21" s="27"/>
      <c r="B21" s="27"/>
      <c r="C21" s="27"/>
      <c r="D21" s="27"/>
      <c r="E21" s="27"/>
      <c r="F21" s="27"/>
      <c r="G21" s="27"/>
      <c r="H21" s="27"/>
    </row>
    <row r="22" spans="1:8" ht="18.75" x14ac:dyDescent="0.3">
      <c r="A22" s="27"/>
      <c r="B22" s="27"/>
      <c r="C22" s="27"/>
      <c r="D22" s="27"/>
      <c r="E22" s="27"/>
      <c r="F22" s="27"/>
      <c r="G22" s="27"/>
      <c r="H22" s="27"/>
    </row>
    <row r="23" spans="1:8" ht="18.75" x14ac:dyDescent="0.3">
      <c r="A23" s="27"/>
      <c r="B23" s="27"/>
      <c r="C23" s="27"/>
      <c r="D23" s="27"/>
      <c r="E23" s="27"/>
      <c r="F23" s="27"/>
      <c r="G23" s="27"/>
      <c r="H23" s="27"/>
    </row>
    <row r="24" spans="1:8" ht="18.75" x14ac:dyDescent="0.3">
      <c r="A24" s="27"/>
      <c r="B24" s="27"/>
      <c r="C24" s="27"/>
      <c r="D24" s="27"/>
      <c r="E24" s="27"/>
      <c r="F24" s="27"/>
      <c r="G24" s="27"/>
      <c r="H24" s="27"/>
    </row>
    <row r="25" spans="1:8" ht="18.75" x14ac:dyDescent="0.3">
      <c r="A25" s="27"/>
      <c r="B25" s="27"/>
      <c r="C25" s="27"/>
      <c r="D25" s="27"/>
      <c r="E25" s="27"/>
      <c r="F25" s="27"/>
      <c r="G25" s="27"/>
      <c r="H25" s="27"/>
    </row>
    <row r="26" spans="1:8" ht="18.75" x14ac:dyDescent="0.3">
      <c r="A26" s="27"/>
      <c r="B26" s="27"/>
      <c r="C26" s="27"/>
      <c r="D26" s="27"/>
      <c r="E26" s="27"/>
      <c r="F26" s="27"/>
      <c r="G26" s="27"/>
      <c r="H26" s="27"/>
    </row>
    <row r="27" spans="1:8" ht="18.75" x14ac:dyDescent="0.3">
      <c r="A27" s="27"/>
      <c r="B27" s="27"/>
      <c r="C27" s="27"/>
      <c r="D27" s="27"/>
      <c r="E27" s="27"/>
      <c r="F27" s="27"/>
      <c r="G27" s="27"/>
      <c r="H27" s="27"/>
    </row>
    <row r="28" spans="1:8" ht="18.75" x14ac:dyDescent="0.3">
      <c r="A28" s="27"/>
      <c r="B28" s="27"/>
      <c r="C28" s="27"/>
      <c r="D28" s="27"/>
      <c r="E28" s="27"/>
      <c r="F28" s="27"/>
      <c r="G28" s="27"/>
      <c r="H28" s="27"/>
    </row>
    <row r="29" spans="1:8" ht="18.75" x14ac:dyDescent="0.3">
      <c r="A29" s="27"/>
      <c r="B29" s="27"/>
      <c r="C29" s="27"/>
      <c r="D29" s="27"/>
      <c r="E29" s="27"/>
      <c r="F29" s="27"/>
      <c r="G29" s="27"/>
      <c r="H29" s="27"/>
    </row>
    <row r="30" spans="1:8" ht="18.75" x14ac:dyDescent="0.3">
      <c r="A30" s="27"/>
      <c r="B30" s="27"/>
      <c r="C30" s="27"/>
      <c r="D30" s="27"/>
      <c r="E30" s="27"/>
      <c r="F30" s="27"/>
      <c r="G30" s="27"/>
      <c r="H30" s="27"/>
    </row>
    <row r="31" spans="1:8" ht="18.75" x14ac:dyDescent="0.3">
      <c r="A31" s="27"/>
      <c r="B31" s="27"/>
      <c r="C31" s="27"/>
      <c r="D31" s="27"/>
      <c r="E31" s="27"/>
      <c r="F31" s="27"/>
      <c r="G31" s="27"/>
      <c r="H31" s="27"/>
    </row>
    <row r="32" spans="1:8" ht="18.75" x14ac:dyDescent="0.3">
      <c r="A32" s="27"/>
      <c r="B32" s="27"/>
      <c r="C32" s="27"/>
      <c r="D32" s="27"/>
      <c r="E32" s="27"/>
      <c r="F32" s="27"/>
      <c r="G32" s="27"/>
      <c r="H32" s="27"/>
    </row>
    <row r="33" spans="1:8" ht="18.75" x14ac:dyDescent="0.3">
      <c r="A33" s="27"/>
      <c r="B33" s="27"/>
      <c r="C33" s="27"/>
      <c r="D33" s="27"/>
      <c r="E33" s="27"/>
      <c r="F33" s="27"/>
      <c r="G33" s="27"/>
      <c r="H33" s="27"/>
    </row>
    <row r="34" spans="1:8" ht="18.75" x14ac:dyDescent="0.3">
      <c r="A34" s="27"/>
      <c r="B34" s="27"/>
      <c r="C34" s="27"/>
      <c r="D34" s="27"/>
      <c r="E34" s="27"/>
      <c r="F34" s="27"/>
      <c r="G34" s="27"/>
      <c r="H34" s="27"/>
    </row>
    <row r="35" spans="1:8" ht="18.75" x14ac:dyDescent="0.3">
      <c r="A35" s="27"/>
      <c r="B35" s="27"/>
      <c r="C35" s="27"/>
      <c r="D35" s="27"/>
      <c r="E35" s="27"/>
      <c r="F35" s="27"/>
      <c r="G35" s="27"/>
      <c r="H35" s="27"/>
    </row>
  </sheetData>
  <pageMargins left="0.7" right="0.7" top="0.75" bottom="0.75" header="0.3" footer="0.3"/>
  <pageSetup paperSize="9" scale="77" orientation="landscape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32</vt:i4>
      </vt:variant>
    </vt:vector>
  </HeadingPairs>
  <TitlesOfParts>
    <vt:vector size="37" baseType="lpstr">
      <vt:lpstr>Calcul Sequence</vt:lpstr>
      <vt:lpstr>Calcul Temps Technique</vt:lpstr>
      <vt:lpstr>Abaques</vt:lpstr>
      <vt:lpstr>Manutention</vt:lpstr>
      <vt:lpstr>Feuille Inventaire</vt:lpstr>
      <vt:lpstr>Alesage</vt:lpstr>
      <vt:lpstr>AlesageExt</vt:lpstr>
      <vt:lpstr>calcul_operation</vt:lpstr>
      <vt:lpstr>CalculEpaisseur</vt:lpstr>
      <vt:lpstr>Chanfreinage</vt:lpstr>
      <vt:lpstr>ChanfreinageExt</vt:lpstr>
      <vt:lpstr>Contournage</vt:lpstr>
      <vt:lpstr>ContournageExt</vt:lpstr>
      <vt:lpstr>FiletageGaz</vt:lpstr>
      <vt:lpstr>FiletageGazExt</vt:lpstr>
      <vt:lpstr>FiletageMetrique</vt:lpstr>
      <vt:lpstr>FiletageMetriqueExt</vt:lpstr>
      <vt:lpstr>FraiseEbauche</vt:lpstr>
      <vt:lpstr>FraiseEbaucheExt</vt:lpstr>
      <vt:lpstr>FraiseFinition</vt:lpstr>
      <vt:lpstr>FraiseFinitionExt</vt:lpstr>
      <vt:lpstr>GrainFinition</vt:lpstr>
      <vt:lpstr>GrainFinition_DiametreMaxi</vt:lpstr>
      <vt:lpstr>GrainFinition_DiametreMini</vt:lpstr>
      <vt:lpstr>GrainFinitionExt</vt:lpstr>
      <vt:lpstr>Matieres</vt:lpstr>
      <vt:lpstr>MatieresExt</vt:lpstr>
      <vt:lpstr>Nuance</vt:lpstr>
      <vt:lpstr>NuanceExt</vt:lpstr>
      <vt:lpstr>Operations</vt:lpstr>
      <vt:lpstr>Percage</vt:lpstr>
      <vt:lpstr>PercageExt</vt:lpstr>
      <vt:lpstr>Surfacage</vt:lpstr>
      <vt:lpstr>SurfacageExt</vt:lpstr>
      <vt:lpstr>TypeOutil</vt:lpstr>
      <vt:lpstr>'Calcul Sequence'!Zone_d_impression</vt:lpstr>
      <vt:lpstr>'Calcul Temps Technique'!Zone_d_impression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Jean-Christophe Ambert</dc:creator>
  <cp:lastModifiedBy>Jean-Christophe Ambert</cp:lastModifiedBy>
  <cp:lastPrinted>2014-12-08T14:55:00Z</cp:lastPrinted>
  <dcterms:created xsi:type="dcterms:W3CDTF">2014-11-03T07:49:22Z</dcterms:created>
  <dcterms:modified xsi:type="dcterms:W3CDTF">2014-12-11T13:48:09Z</dcterms:modified>
</cp:coreProperties>
</file>