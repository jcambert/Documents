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refreshAllConnections="1" defaultThemeVersion="124226"/>
  <bookViews>
    <workbookView xWindow="240" yWindow="105" windowWidth="24780" windowHeight="12150" activeTab="3"/>
  </bookViews>
  <sheets>
    <sheet name="Calcul" sheetId="1" r:id="rId1"/>
    <sheet name="Données" sheetId="2" r:id="rId2"/>
    <sheet name="Rapprochement Estim Real vendu" sheetId="3" r:id="rId3"/>
    <sheet name="Equilibrage" sheetId="4" r:id="rId4"/>
  </sheets>
  <definedNames>
    <definedName name="reference">Usinage[reference]</definedName>
    <definedName name="Usinage.accdb" localSheetId="1" hidden="1">Données!$B$1:$O$13</definedName>
    <definedName name="_xlnm.Print_Area" localSheetId="0">Calcul!$A$1:$G$15</definedName>
  </definedNames>
  <calcPr calcId="145621"/>
</workbook>
</file>

<file path=xl/calcChain.xml><?xml version="1.0" encoding="utf-8"?>
<calcChain xmlns="http://schemas.openxmlformats.org/spreadsheetml/2006/main">
  <c r="B4" i="4" l="1"/>
  <c r="A4" i="4"/>
  <c r="E2" i="4" l="1"/>
  <c r="E4" i="4" s="1"/>
  <c r="C2" i="4"/>
  <c r="C4" i="4" s="1"/>
  <c r="B13" i="4"/>
  <c r="C13" i="4"/>
  <c r="E13" i="4"/>
  <c r="D13" i="4" s="1"/>
  <c r="B14" i="4"/>
  <c r="C14" i="4"/>
  <c r="E14" i="4"/>
  <c r="B15" i="4"/>
  <c r="C15" i="4"/>
  <c r="E15" i="4"/>
  <c r="B16" i="4"/>
  <c r="C16" i="4"/>
  <c r="E16" i="4"/>
  <c r="D16" i="4" s="1"/>
  <c r="B17" i="4"/>
  <c r="C17" i="4"/>
  <c r="E17" i="4"/>
  <c r="D17" i="4" s="1"/>
  <c r="F17" i="4" s="1"/>
  <c r="B18" i="4"/>
  <c r="C18" i="4"/>
  <c r="E18" i="4"/>
  <c r="B19" i="4"/>
  <c r="C19" i="4"/>
  <c r="E19" i="4"/>
  <c r="D19" i="4" s="1"/>
  <c r="F19" i="4" s="1"/>
  <c r="B20" i="4"/>
  <c r="C20" i="4"/>
  <c r="E20" i="4"/>
  <c r="D20" i="4" s="1"/>
  <c r="B21" i="4"/>
  <c r="C21" i="4"/>
  <c r="E21" i="4"/>
  <c r="D21" i="4" s="1"/>
  <c r="B22" i="4"/>
  <c r="C22" i="4"/>
  <c r="E22" i="4"/>
  <c r="B23" i="4"/>
  <c r="C23" i="4"/>
  <c r="E23" i="4"/>
  <c r="C12" i="4"/>
  <c r="E12" i="4"/>
  <c r="B12" i="4"/>
  <c r="F16" i="4" l="1"/>
  <c r="D23" i="4"/>
  <c r="D15" i="4"/>
  <c r="F15" i="4"/>
  <c r="F20" i="4"/>
  <c r="D12" i="4"/>
  <c r="F12" i="4" s="1"/>
  <c r="F13" i="4"/>
  <c r="F21" i="4"/>
  <c r="F23" i="4"/>
  <c r="D22" i="4"/>
  <c r="F22" i="4" s="1"/>
  <c r="D18" i="4"/>
  <c r="F18" i="4" s="1"/>
  <c r="D14" i="4"/>
  <c r="F14" i="4" s="1"/>
  <c r="D2" i="4"/>
  <c r="D4" i="4" s="1"/>
  <c r="C14" i="3"/>
  <c r="F2" i="4" l="1"/>
  <c r="F4" i="4" s="1"/>
  <c r="H23" i="4"/>
  <c r="H19" i="4"/>
  <c r="H12" i="4"/>
  <c r="G15" i="4"/>
  <c r="G16" i="4"/>
  <c r="I16" i="4" s="1"/>
  <c r="H14" i="4"/>
  <c r="H17" i="4"/>
  <c r="H21" i="4"/>
  <c r="G12" i="4"/>
  <c r="I12" i="4" s="1"/>
  <c r="G17" i="4"/>
  <c r="H20" i="4"/>
  <c r="G21" i="4"/>
  <c r="I21" i="4" s="1"/>
  <c r="H16" i="4"/>
  <c r="G23" i="4"/>
  <c r="I23" i="4" s="1"/>
  <c r="H22" i="4"/>
  <c r="G14" i="4"/>
  <c r="H18" i="4"/>
  <c r="G20" i="4"/>
  <c r="I20" i="4" s="1"/>
  <c r="G13" i="4"/>
  <c r="G22" i="4"/>
  <c r="I22" i="4" s="1"/>
  <c r="H15" i="4"/>
  <c r="G18" i="4"/>
  <c r="I18" i="4" s="1"/>
  <c r="G19" i="4"/>
  <c r="H13" i="4"/>
  <c r="F14" i="3"/>
  <c r="B14" i="3"/>
  <c r="D14" i="3" s="1"/>
  <c r="H14" i="3"/>
  <c r="E14" i="3" s="1"/>
  <c r="C13" i="3"/>
  <c r="I19" i="4" l="1"/>
  <c r="I17" i="4"/>
  <c r="I14" i="4"/>
  <c r="I13" i="4"/>
  <c r="I15" i="4"/>
  <c r="K19" i="4"/>
  <c r="K22" i="4"/>
  <c r="K18" i="4"/>
  <c r="K21" i="4"/>
  <c r="K17" i="4"/>
  <c r="K12" i="4"/>
  <c r="K23" i="4"/>
  <c r="K14" i="4"/>
  <c r="K20" i="4"/>
  <c r="K16" i="4"/>
  <c r="K15" i="4"/>
  <c r="K13" i="4"/>
  <c r="G14" i="3"/>
  <c r="F13" i="3"/>
  <c r="B13" i="3"/>
  <c r="H13" i="3"/>
  <c r="E13" i="3" s="1"/>
  <c r="C12" i="3"/>
  <c r="I11" i="4" l="1"/>
  <c r="I10" i="4"/>
  <c r="K11" i="4"/>
  <c r="K10" i="4"/>
  <c r="I9" i="4"/>
  <c r="J14" i="4" s="1"/>
  <c r="K9" i="4"/>
  <c r="D13" i="3"/>
  <c r="G13" i="3" s="1"/>
  <c r="F12" i="3"/>
  <c r="B12" i="3"/>
  <c r="H12" i="3"/>
  <c r="E12" i="3" s="1"/>
  <c r="L13" i="4" l="1"/>
  <c r="L20" i="4"/>
  <c r="J17" i="4"/>
  <c r="J13" i="4"/>
  <c r="L16" i="4"/>
  <c r="L15" i="4"/>
  <c r="L23" i="4"/>
  <c r="L18" i="4"/>
  <c r="J16" i="4"/>
  <c r="J12" i="4"/>
  <c r="J18" i="4"/>
  <c r="J20" i="4"/>
  <c r="J19" i="4"/>
  <c r="J22" i="4"/>
  <c r="J23" i="4"/>
  <c r="J21" i="4"/>
  <c r="L14" i="4"/>
  <c r="L19" i="4"/>
  <c r="L24" i="4"/>
  <c r="L22" i="4"/>
  <c r="L12" i="4"/>
  <c r="J15" i="4"/>
  <c r="J11" i="4" s="1"/>
  <c r="L17" i="4"/>
  <c r="L21" i="4"/>
  <c r="D12" i="3"/>
  <c r="G12" i="3" s="1"/>
  <c r="J9" i="4" l="1"/>
  <c r="J10" i="4"/>
  <c r="C11" i="3"/>
  <c r="M14" i="4" l="1"/>
  <c r="M17" i="4"/>
  <c r="M20" i="4"/>
  <c r="M15" i="4"/>
  <c r="M19" i="4"/>
  <c r="M23" i="4"/>
  <c r="M21" i="4"/>
  <c r="M18" i="4"/>
  <c r="M13" i="4"/>
  <c r="M16" i="4"/>
  <c r="M12" i="4"/>
  <c r="M22" i="4"/>
  <c r="F11" i="3"/>
  <c r="B11" i="3"/>
  <c r="H11" i="3"/>
  <c r="E11" i="3" s="1"/>
  <c r="F10" i="3"/>
  <c r="C10" i="3"/>
  <c r="M11" i="4" l="1"/>
  <c r="M10" i="4"/>
  <c r="M9" i="4"/>
  <c r="D11" i="3"/>
  <c r="G11" i="3" s="1"/>
  <c r="H10" i="3"/>
  <c r="B10" i="3"/>
  <c r="P2" i="2"/>
  <c r="P3" i="2"/>
  <c r="P4" i="2"/>
  <c r="P5" i="2"/>
  <c r="P6" i="2"/>
  <c r="P7" i="2"/>
  <c r="P8" i="2"/>
  <c r="P9" i="2"/>
  <c r="P10" i="2"/>
  <c r="P11" i="2"/>
  <c r="P12" i="2"/>
  <c r="P13" i="2"/>
  <c r="C9" i="3"/>
  <c r="C8" i="3"/>
  <c r="H5" i="4" l="1"/>
  <c r="G5" i="4"/>
  <c r="H6" i="4"/>
  <c r="G6" i="4"/>
  <c r="H7" i="4"/>
  <c r="G7" i="4"/>
  <c r="B6" i="4"/>
  <c r="D6" i="4"/>
  <c r="E6" i="4"/>
  <c r="F6" i="4"/>
  <c r="C6" i="4"/>
  <c r="B7" i="4"/>
  <c r="F7" i="4"/>
  <c r="E7" i="4"/>
  <c r="D7" i="4"/>
  <c r="C7" i="4"/>
  <c r="B5" i="4"/>
  <c r="E5" i="4"/>
  <c r="D5" i="4"/>
  <c r="F5" i="4"/>
  <c r="C5" i="4"/>
  <c r="D10" i="3"/>
  <c r="E10" i="3"/>
  <c r="G4" i="4" l="1"/>
  <c r="H4" i="4"/>
  <c r="G10" i="3"/>
  <c r="F9" i="3"/>
  <c r="H9" i="3"/>
  <c r="E9" i="3" s="1"/>
  <c r="B9" i="3"/>
  <c r="D9" i="3" l="1"/>
  <c r="G9" i="3"/>
  <c r="B8" i="3"/>
  <c r="H8" i="3"/>
  <c r="E8" i="3" s="1"/>
  <c r="F8" i="3"/>
  <c r="D8" i="3" l="1"/>
  <c r="G8" i="3" s="1"/>
  <c r="C7" i="3"/>
  <c r="F7" i="3" l="1"/>
  <c r="B7" i="3"/>
  <c r="H7" i="3"/>
  <c r="E7" i="3" s="1"/>
  <c r="D7" i="3" l="1"/>
  <c r="G7" i="3" s="1"/>
  <c r="C3" i="3"/>
  <c r="C6" i="3"/>
  <c r="B4" i="3" l="1"/>
  <c r="C5" i="3" l="1"/>
  <c r="B5" i="3" l="1"/>
  <c r="B6" i="3"/>
  <c r="B3" i="3"/>
  <c r="C4" i="3" l="1"/>
  <c r="F6" i="3" l="1"/>
  <c r="H6" i="3" l="1"/>
  <c r="E6" i="3" l="1"/>
  <c r="D6" i="3"/>
  <c r="F5" i="3"/>
  <c r="H5" i="3"/>
  <c r="F4" i="3"/>
  <c r="H4" i="3"/>
  <c r="H3" i="3"/>
  <c r="F3" i="3"/>
  <c r="G6" i="3" l="1"/>
  <c r="D3" i="3"/>
  <c r="E3" i="3"/>
  <c r="G3" i="3" s="1"/>
  <c r="D4" i="3"/>
  <c r="E4" i="3"/>
  <c r="E5" i="3"/>
  <c r="D5" i="3"/>
  <c r="C13" i="1"/>
  <c r="G3" i="1"/>
  <c r="F3" i="1"/>
  <c r="E3" i="1"/>
  <c r="B10" i="1"/>
  <c r="B9" i="1"/>
  <c r="F4" i="1"/>
  <c r="E4" i="1"/>
  <c r="C4" i="1"/>
  <c r="B4" i="1"/>
  <c r="C9" i="1" s="1"/>
  <c r="R33" i="2"/>
  <c r="G4" i="3" l="1"/>
  <c r="G5" i="3"/>
  <c r="C10" i="1"/>
  <c r="G4" i="1"/>
  <c r="D9" i="1" s="1"/>
  <c r="E9" i="1" s="1"/>
  <c r="F9" i="1" l="1"/>
  <c r="G9" i="1"/>
  <c r="D4" i="1"/>
  <c r="D10" i="1" s="1"/>
  <c r="E10" i="1" s="1"/>
  <c r="G10" i="1" l="1"/>
  <c r="F10" i="1"/>
  <c r="E12" i="1"/>
  <c r="E13" i="1" s="1"/>
  <c r="G12" i="1" l="1"/>
  <c r="G13" i="1" s="1"/>
  <c r="F12" i="1"/>
  <c r="F13" i="1" s="1"/>
  <c r="C15" i="1" s="1"/>
</calcChain>
</file>

<file path=xl/connections.xml><?xml version="1.0" encoding="utf-8"?>
<connections xmlns="http://schemas.openxmlformats.org/spreadsheetml/2006/main">
  <connection id="1" sourceFile="C:\Users\jcambert\Documents\Chrono\usinage\Usinage.accdb" keepAlive="1" name="Usinage" type="5" refreshedVersion="4" background="1" saveData="1">
    <dbPr connection="Provider=Microsoft.ACE.OLEDB.12.0;User ID=Admin;Data Source=C:\Users\jcambert\Documents\Chrono\usinage\Usin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usinage" commandType="3"/>
  </connection>
</connections>
</file>

<file path=xl/sharedStrings.xml><?xml version="1.0" encoding="utf-8"?>
<sst xmlns="http://schemas.openxmlformats.org/spreadsheetml/2006/main" count="52" uniqueCount="44">
  <si>
    <t>Usinage</t>
  </si>
  <si>
    <t>Temps Reel</t>
  </si>
  <si>
    <t>Cycle</t>
  </si>
  <si>
    <t>Manutention</t>
  </si>
  <si>
    <t>Unitaire</t>
  </si>
  <si>
    <t>Qté Production</t>
  </si>
  <si>
    <t>317703A</t>
  </si>
  <si>
    <t>Piece</t>
  </si>
  <si>
    <t>Totaux</t>
  </si>
  <si>
    <t>Temps mort
 machine</t>
  </si>
  <si>
    <t>Temps mort 
operateur</t>
  </si>
  <si>
    <t>Efficience Machine théorique</t>
  </si>
  <si>
    <t>224263D</t>
  </si>
  <si>
    <t>251094</t>
  </si>
  <si>
    <t>274077E</t>
  </si>
  <si>
    <t>Temps Vendu</t>
  </si>
  <si>
    <t>Temps Estimé</t>
  </si>
  <si>
    <t>Temps Réalisé</t>
  </si>
  <si>
    <t>Référence</t>
  </si>
  <si>
    <t>Nbre Piece/montage</t>
  </si>
  <si>
    <t>Montage</t>
  </si>
  <si>
    <t>290294A</t>
  </si>
  <si>
    <t>Colonne1</t>
  </si>
  <si>
    <t>308969C</t>
  </si>
  <si>
    <t>303148</t>
  </si>
  <si>
    <t>303127</t>
  </si>
  <si>
    <t>290052</t>
  </si>
  <si>
    <t>313530A</t>
  </si>
  <si>
    <t>309355A</t>
  </si>
  <si>
    <t>313152</t>
  </si>
  <si>
    <t>Temps d'usinage</t>
  </si>
  <si>
    <t>Temps Cycle</t>
  </si>
  <si>
    <t>Temps Manutention</t>
  </si>
  <si>
    <t>Temps reel</t>
  </si>
  <si>
    <t>Tps mort machine</t>
  </si>
  <si>
    <t>Tps Mort Ope</t>
  </si>
  <si>
    <t>Poste</t>
  </si>
  <si>
    <t>A</t>
  </si>
  <si>
    <t>Choix 2</t>
  </si>
  <si>
    <t>Choix 3</t>
  </si>
  <si>
    <t>Choix 1</t>
  </si>
  <si>
    <t>B Choix 1</t>
  </si>
  <si>
    <t>B Choix 2</t>
  </si>
  <si>
    <t>B Choix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</si>
</sst>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[$-F400]h:mm:ss\ AM/PM"/>
    <numFmt numFmtId="165" formatCode="[h]:mm:ss;@"/>
    <numFmt numFmtId="166" formatCode="mm:ss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 tint="0.39997558519241921"/>
      </left>
      <right/>
      <top/>
      <bottom/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21" fontId="0" fillId="0" borderId="0" xfId="0" applyNumberFormat="1"/>
    <xf numFmtId="9" fontId="0" fillId="0" borderId="0" xfId="1" applyFont="1"/>
    <xf numFmtId="0" fontId="0" fillId="0" borderId="0" xfId="0" applyAlignment="1"/>
    <xf numFmtId="2" fontId="0" fillId="0" borderId="2" xfId="0" applyNumberFormat="1" applyFont="1" applyBorder="1" applyAlignment="1">
      <alignment horizontal="center"/>
    </xf>
    <xf numFmtId="2" fontId="0" fillId="3" borderId="5" xfId="0" applyNumberFormat="1" applyFont="1" applyFill="1" applyBorder="1" applyAlignment="1">
      <alignment horizontal="center"/>
    </xf>
    <xf numFmtId="164" fontId="0" fillId="0" borderId="0" xfId="0" applyNumberFormat="1" applyAlignment="1"/>
    <xf numFmtId="164" fontId="0" fillId="0" borderId="6" xfId="0" applyNumberFormat="1" applyFont="1" applyBorder="1" applyAlignment="1"/>
    <xf numFmtId="164" fontId="0" fillId="0" borderId="8" xfId="0" applyNumberFormat="1" applyFont="1" applyBorder="1"/>
    <xf numFmtId="164" fontId="0" fillId="0" borderId="8" xfId="0" applyNumberFormat="1" applyFont="1" applyBorder="1" applyAlignment="1"/>
    <xf numFmtId="0" fontId="2" fillId="2" borderId="5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/>
    </xf>
    <xf numFmtId="9" fontId="0" fillId="0" borderId="1" xfId="1" applyFont="1" applyBorder="1"/>
    <xf numFmtId="0" fontId="0" fillId="3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64" fontId="2" fillId="2" borderId="5" xfId="0" applyNumberFormat="1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49" fontId="0" fillId="0" borderId="0" xfId="0" applyNumberFormat="1"/>
    <xf numFmtId="166" fontId="0" fillId="0" borderId="0" xfId="0" applyNumberFormat="1"/>
    <xf numFmtId="43" fontId="0" fillId="0" borderId="0" xfId="2" applyFont="1"/>
    <xf numFmtId="43" fontId="0" fillId="0" borderId="0" xfId="0" applyNumberFormat="1"/>
    <xf numFmtId="0" fontId="2" fillId="2" borderId="9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0" fillId="3" borderId="7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3" borderId="8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Alignment="1">
      <alignment wrapText="1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Usinage.accdb" preserveFormatting="0" connectionId="1" autoFormatId="16" applyNumberFormats="0" applyBorderFormats="0" applyFontFormats="0" applyPatternFormats="0" applyAlignmentFormats="0" applyWidthHeightFormats="0">
  <queryTableRefresh preserveSortFilterLayout="0" nextId="16" unboundColumnsRight="1">
    <queryTableFields count="15">
      <queryTableField id="1" name="id" tableColumnId="1"/>
      <queryTableField id="2" name="reference" tableColumnId="2"/>
      <queryTableField id="3" name="poids" tableColumnId="3"/>
      <queryTableField id="4" name="longueur" tableColumnId="4"/>
      <queryTableField id="5" name="epaisseur" tableColumnId="5"/>
      <queryTableField id="6" name="pieceposage" tableColumnId="6"/>
      <queryTableField id="7" name="bride" tableColumnId="7"/>
      <queryTableField id="8" name="ebav" tableColumnId="8"/>
      <queryTableField id="9" name="cycle" tableColumnId="9"/>
      <queryTableField id="10" name="pendulaire" tableColumnId="10"/>
      <queryTableField id="11" name="fiche" tableColumnId="11"/>
      <queryTableField id="12" name="prod" tableColumnId="12"/>
      <queryTableField id="13" name="chardechar" tableColumnId="13"/>
      <queryTableField id="14" name="EstPendulaire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Usinage" displayName="Usinage" ref="B1:P13" tableType="queryTable" totalsRowShown="0">
  <autoFilter ref="B1:P13"/>
  <sortState ref="B2:O13">
    <sortCondition ref="C6"/>
  </sortState>
  <tableColumns count="15">
    <tableColumn id="1" uniqueName="1" name="id" queryTableFieldId="1"/>
    <tableColumn id="2" uniqueName="2" name="reference" queryTableFieldId="2"/>
    <tableColumn id="3" uniqueName="3" name="poids" queryTableFieldId="3"/>
    <tableColumn id="4" uniqueName="4" name="longueur" queryTableFieldId="4"/>
    <tableColumn id="5" uniqueName="5" name="epaisseur" queryTableFieldId="5"/>
    <tableColumn id="6" uniqueName="6" name="pieceposage" queryTableFieldId="6"/>
    <tableColumn id="7" uniqueName="7" name="bride" queryTableFieldId="7"/>
    <tableColumn id="8" uniqueName="8" name="ebav" queryTableFieldId="8"/>
    <tableColumn id="9" uniqueName="9" name="cycle" queryTableFieldId="9"/>
    <tableColumn id="10" uniqueName="10" name="pendulaire" queryTableFieldId="10"/>
    <tableColumn id="11" uniqueName="11" name="fiche" queryTableFieldId="11"/>
    <tableColumn id="12" uniqueName="12" name="prod" queryTableFieldId="12"/>
    <tableColumn id="13" uniqueName="13" name="chardechar" queryTableFieldId="13"/>
    <tableColumn id="14" uniqueName="14" name="EstPendulaire" queryTableFieldId="14"/>
    <tableColumn id="15" uniqueName="15" name="Colonne1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5"/>
  <sheetViews>
    <sheetView zoomScaleNormal="100" zoomScaleSheetLayoutView="166" workbookViewId="0">
      <selection activeCell="J12" sqref="J12"/>
    </sheetView>
  </sheetViews>
  <sheetFormatPr baseColWidth="10" defaultRowHeight="15" x14ac:dyDescent="0.25"/>
  <cols>
    <col min="1" max="1" width="14.42578125" bestFit="1" customWidth="1"/>
    <col min="2" max="2" width="12.140625" customWidth="1"/>
    <col min="3" max="3" width="14.42578125" bestFit="1" customWidth="1"/>
    <col min="4" max="4" width="14.5703125" customWidth="1"/>
    <col min="5" max="5" width="13.28515625" customWidth="1"/>
    <col min="6" max="6" width="11.5703125" bestFit="1" customWidth="1"/>
    <col min="7" max="7" width="12.5703125" bestFit="1" customWidth="1"/>
    <col min="8" max="8" width="13.28515625" customWidth="1"/>
  </cols>
  <sheetData>
    <row r="1" spans="1:15" x14ac:dyDescent="0.25">
      <c r="C1" s="34"/>
      <c r="D1" s="34"/>
      <c r="E1" s="34"/>
      <c r="F1" s="7"/>
      <c r="G1" s="34"/>
      <c r="H1" s="34"/>
      <c r="I1" s="34"/>
      <c r="J1" s="7"/>
    </row>
    <row r="2" spans="1:15" ht="18.75" x14ac:dyDescent="0.3">
      <c r="B2" s="35" t="s">
        <v>12</v>
      </c>
      <c r="C2" s="36"/>
      <c r="D2" s="37"/>
      <c r="E2" s="35" t="s">
        <v>13</v>
      </c>
      <c r="F2" s="36"/>
      <c r="G2" s="36"/>
      <c r="J2" s="7"/>
    </row>
    <row r="3" spans="1:15" x14ac:dyDescent="0.25">
      <c r="A3" s="17" t="s">
        <v>5</v>
      </c>
      <c r="B3" s="17" t="s">
        <v>0</v>
      </c>
      <c r="C3" s="17" t="s">
        <v>2</v>
      </c>
      <c r="D3" s="17" t="s">
        <v>3</v>
      </c>
      <c r="E3" s="17" t="str">
        <f>B3</f>
        <v>Usinage</v>
      </c>
      <c r="F3" s="17" t="str">
        <f>C3</f>
        <v>Cycle</v>
      </c>
      <c r="G3" s="17" t="str">
        <f>D3</f>
        <v>Manutention</v>
      </c>
      <c r="J3" s="1"/>
    </row>
    <row r="4" spans="1:15" ht="15" customHeight="1" x14ac:dyDescent="0.25">
      <c r="A4" s="18">
        <v>40</v>
      </c>
      <c r="B4" s="19">
        <f>INDEX(Usinage[],MATCH(B2,reference,0),10)</f>
        <v>79.727272033691406</v>
      </c>
      <c r="C4" s="19">
        <f>INDEX(Usinage[],MATCH(B2,reference,0),9)</f>
        <v>268.00726318359375</v>
      </c>
      <c r="D4" s="19">
        <f>C4-B4</f>
        <v>188.27999114990234</v>
      </c>
      <c r="E4" s="19">
        <f>INDEX(Usinage[],MATCH(E2,reference,0),10)</f>
        <v>234.66874694824219</v>
      </c>
      <c r="F4" s="19">
        <f>INDEX(Usinage[],MATCH(E2,reference,0),9)</f>
        <v>433.74874877929687</v>
      </c>
      <c r="G4" s="19">
        <f>F4-E4</f>
        <v>199.08000183105469</v>
      </c>
      <c r="J4" s="3"/>
    </row>
    <row r="5" spans="1:15" ht="15" customHeight="1" x14ac:dyDescent="0.25">
      <c r="C5" s="2"/>
      <c r="D5" s="2"/>
      <c r="E5" s="2"/>
      <c r="J5" s="3"/>
    </row>
    <row r="6" spans="1:15" ht="15" customHeight="1" x14ac:dyDescent="0.25">
      <c r="C6" s="2"/>
      <c r="D6" s="2"/>
      <c r="E6" s="2"/>
      <c r="J6" s="3"/>
    </row>
    <row r="7" spans="1:15" ht="15" customHeight="1" x14ac:dyDescent="0.25">
      <c r="C7" s="4"/>
      <c r="D7" s="4"/>
      <c r="E7" s="4"/>
      <c r="F7" s="32"/>
      <c r="G7" s="32"/>
      <c r="H7" s="33"/>
      <c r="I7" s="33"/>
      <c r="L7" s="4"/>
      <c r="M7" s="6"/>
    </row>
    <row r="8" spans="1:15" ht="30" x14ac:dyDescent="0.25">
      <c r="B8" s="15" t="s">
        <v>7</v>
      </c>
      <c r="C8" s="20" t="s">
        <v>0</v>
      </c>
      <c r="D8" s="20" t="s">
        <v>3</v>
      </c>
      <c r="E8" s="21" t="s">
        <v>1</v>
      </c>
      <c r="F8" s="14" t="s">
        <v>9</v>
      </c>
      <c r="G8" s="14" t="s">
        <v>10</v>
      </c>
    </row>
    <row r="9" spans="1:15" x14ac:dyDescent="0.25">
      <c r="B9" s="17" t="str">
        <f>B2</f>
        <v>224263D</v>
      </c>
      <c r="C9" s="9">
        <f>$B$4</f>
        <v>79.727272033691406</v>
      </c>
      <c r="D9" s="9">
        <f>$G$4</f>
        <v>199.08000183105469</v>
      </c>
      <c r="E9" s="9">
        <f>MAX(C9:D9)</f>
        <v>199.08000183105469</v>
      </c>
      <c r="F9" s="9">
        <f>E9-C9</f>
        <v>119.35272979736328</v>
      </c>
      <c r="G9" s="9">
        <f>E9-D9</f>
        <v>0</v>
      </c>
      <c r="J9" s="2"/>
      <c r="L9" s="4"/>
      <c r="N9" s="5"/>
      <c r="O9" s="2"/>
    </row>
    <row r="10" spans="1:15" x14ac:dyDescent="0.25">
      <c r="B10" s="18" t="str">
        <f>E2</f>
        <v>251094</v>
      </c>
      <c r="C10" s="8">
        <f>$E$4</f>
        <v>234.66874694824219</v>
      </c>
      <c r="D10" s="8">
        <f>$D$4</f>
        <v>188.27999114990234</v>
      </c>
      <c r="E10" s="8">
        <f>MAX(C10:D10)</f>
        <v>234.66874694824219</v>
      </c>
      <c r="F10" s="8">
        <f>E10-C10</f>
        <v>0</v>
      </c>
      <c r="G10" s="8">
        <f>E10-D10</f>
        <v>46.388755798339844</v>
      </c>
      <c r="J10" s="2"/>
      <c r="L10" s="4"/>
    </row>
    <row r="11" spans="1:15" ht="4.5" customHeight="1" thickBot="1" x14ac:dyDescent="0.3"/>
    <row r="12" spans="1:15" x14ac:dyDescent="0.25">
      <c r="B12" s="28" t="s">
        <v>8</v>
      </c>
      <c r="C12" s="30" t="s">
        <v>4</v>
      </c>
      <c r="D12" s="31"/>
      <c r="E12" s="12">
        <f>(E9+E10)/3600/24</f>
        <v>5.0202401479085288E-3</v>
      </c>
      <c r="F12" s="12">
        <f>(F9+F10)/3600/24</f>
        <v>1.3813973356176306E-3</v>
      </c>
      <c r="G12" s="12">
        <f>(G9+G10)/3600/24</f>
        <v>5.3690689581411849E-4</v>
      </c>
      <c r="I12" s="10"/>
    </row>
    <row r="13" spans="1:15" x14ac:dyDescent="0.25">
      <c r="B13" s="29"/>
      <c r="C13" s="30" t="str">
        <f>A3</f>
        <v>Qté Production</v>
      </c>
      <c r="D13" s="31"/>
      <c r="E13" s="12">
        <f>$A$4*E12</f>
        <v>0.20080960591634114</v>
      </c>
      <c r="F13" s="13">
        <f>$A$4*F12</f>
        <v>5.5255893424705223E-2</v>
      </c>
      <c r="G13" s="11">
        <f>$A$4*G12</f>
        <v>2.1476275832564739E-2</v>
      </c>
    </row>
    <row r="14" spans="1:15" ht="11.25" customHeight="1" x14ac:dyDescent="0.25"/>
    <row r="15" spans="1:15" x14ac:dyDescent="0.25">
      <c r="A15" s="26" t="s">
        <v>11</v>
      </c>
      <c r="B15" s="27"/>
      <c r="C15" s="16">
        <f>1-(F13)/E13</f>
        <v>0.7248344113193208</v>
      </c>
    </row>
  </sheetData>
  <mergeCells count="10">
    <mergeCell ref="H7:I7"/>
    <mergeCell ref="C1:E1"/>
    <mergeCell ref="G1:I1"/>
    <mergeCell ref="E2:G2"/>
    <mergeCell ref="B2:D2"/>
    <mergeCell ref="A15:B15"/>
    <mergeCell ref="B12:B13"/>
    <mergeCell ref="C12:D12"/>
    <mergeCell ref="C13:D13"/>
    <mergeCell ref="F7:G7"/>
  </mergeCells>
  <dataValidations disablePrompts="1" count="2">
    <dataValidation type="list" showInputMessage="1" showErrorMessage="1" sqref="B2">
      <formula1>reference</formula1>
    </dataValidation>
    <dataValidation type="list" allowBlank="1" showInputMessage="1" showErrorMessage="1" sqref="E2 J2">
      <formula1>reference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R33"/>
  <sheetViews>
    <sheetView workbookViewId="0">
      <selection activeCell="N2" sqref="N2"/>
    </sheetView>
  </sheetViews>
  <sheetFormatPr baseColWidth="10" defaultRowHeight="15" x14ac:dyDescent="0.25"/>
  <cols>
    <col min="2" max="2" width="3" customWidth="1"/>
    <col min="3" max="3" width="9.7109375" customWidth="1"/>
    <col min="4" max="4" width="12" bestFit="1" customWidth="1"/>
    <col min="5" max="5" width="9" customWidth="1"/>
    <col min="6" max="6" width="9.5703125" customWidth="1"/>
    <col min="7" max="7" width="12.140625" customWidth="1"/>
    <col min="8" max="8" width="5.7109375" customWidth="1"/>
    <col min="9" max="9" width="5.28515625" customWidth="1"/>
    <col min="10" max="10" width="12" bestFit="1" customWidth="1"/>
    <col min="11" max="11" width="12" customWidth="1"/>
    <col min="12" max="12" width="13" bestFit="1" customWidth="1"/>
    <col min="13" max="13" width="5.28515625" customWidth="1"/>
    <col min="14" max="14" width="12" customWidth="1"/>
    <col min="15" max="15" width="13.28515625" customWidth="1"/>
    <col min="16" max="16" width="9.42578125" customWidth="1"/>
  </cols>
  <sheetData>
    <row r="1" spans="2:16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 t="s">
        <v>22</v>
      </c>
    </row>
    <row r="2" spans="2:16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 t="str">
        <f>VLOOKUP(Usinage[[#This Row],[reference]],'Rapprochement Estim Real vendu'!$A$3:$A$27,1,FALSE)</f>
        <v>224263D</v>
      </c>
    </row>
    <row r="3" spans="2:16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 t="str">
        <f>VLOOKUP(Usinage[[#This Row],[reference]],'Rapprochement Estim Real vendu'!$A$3:$A$27,1,FALSE)</f>
        <v>308969C</v>
      </c>
    </row>
    <row r="4" spans="2:16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 t="str">
        <f>VLOOKUP(Usinage[[#This Row],[reference]],'Rapprochement Estim Real vendu'!$A$3:$A$27,1,FALSE)</f>
        <v>290294A</v>
      </c>
    </row>
    <row r="5" spans="2:16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 t="str">
        <f>VLOOKUP(Usinage[[#This Row],[reference]],'Rapprochement Estim Real vendu'!$A$3:$A$27,1,FALSE)</f>
        <v>303148</v>
      </c>
    </row>
    <row r="6" spans="2:16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 t="str">
        <f>VLOOKUP(Usinage[[#This Row],[reference]],'Rapprochement Estim Real vendu'!$A$3:$A$27,1,FALSE)</f>
        <v>251094</v>
      </c>
    </row>
    <row r="7" spans="2:16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 t="str">
        <f>VLOOKUP(Usinage[[#This Row],[reference]],'Rapprochement Estim Real vendu'!$A$3:$A$27,1,FALSE)</f>
        <v>303127</v>
      </c>
    </row>
    <row r="8" spans="2:16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 t="str">
        <f>VLOOKUP(Usinage[[#This Row],[reference]],'Rapprochement Estim Real vendu'!$A$3:$A$27,1,FALSE)</f>
        <v>317703A</v>
      </c>
    </row>
    <row r="9" spans="2:16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 t="str">
        <f>VLOOKUP(Usinage[[#This Row],[reference]],'Rapprochement Estim Real vendu'!$A$3:$A$27,1,FALSE)</f>
        <v>313530A</v>
      </c>
    </row>
    <row r="10" spans="2:16" x14ac:dyDescent="0.2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t="str">
        <f>VLOOKUP(Usinage[[#This Row],[reference]],'Rapprochement Estim Real vendu'!$A$3:$A$27,1,FALSE)</f>
        <v>274077E</v>
      </c>
    </row>
    <row r="11" spans="2:16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t="str">
        <f>VLOOKUP(Usinage[[#This Row],[reference]],'Rapprochement Estim Real vendu'!$A$3:$A$27,1,FALSE)</f>
        <v>309355A</v>
      </c>
    </row>
    <row r="12" spans="2:16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t="str">
        <f>VLOOKUP(Usinage[[#This Row],[reference]],'Rapprochement Estim Real vendu'!$A$3:$A$27,1,FALSE)</f>
        <v>313152</v>
      </c>
    </row>
    <row r="13" spans="2:16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t="str">
        <f>VLOOKUP(Usinage[[#This Row],[reference]],'Rapprochement Estim Real vendu'!$A$3:$A$27,1,FALSE)</f>
        <v>290052</v>
      </c>
    </row>
    <row r="33" spans="18:18" x14ac:dyDescent="0.25">
      <c r="R33" t="str">
        <f>INDEX(Usinage[],MATCH("313152",reference,0),2)</f>
        <v>313152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4"/>
  <sheetViews>
    <sheetView workbookViewId="0">
      <selection activeCell="B3" sqref="B3"/>
    </sheetView>
  </sheetViews>
  <sheetFormatPr baseColWidth="10" defaultRowHeight="15" x14ac:dyDescent="0.25"/>
  <cols>
    <col min="1" max="1" width="11.42578125" style="22"/>
    <col min="2" max="2" width="13.7109375" bestFit="1" customWidth="1"/>
    <col min="3" max="3" width="13.28515625" bestFit="1" customWidth="1"/>
    <col min="4" max="5" width="13.28515625" customWidth="1"/>
    <col min="6" max="6" width="13.140625" bestFit="1" customWidth="1"/>
    <col min="8" max="8" width="19.5703125" bestFit="1" customWidth="1"/>
  </cols>
  <sheetData>
    <row r="1" spans="1:8" x14ac:dyDescent="0.25">
      <c r="B1" s="34" t="s">
        <v>20</v>
      </c>
      <c r="C1" s="34"/>
      <c r="D1" s="34" t="s">
        <v>4</v>
      </c>
      <c r="E1" s="34"/>
    </row>
    <row r="2" spans="1:8" x14ac:dyDescent="0.25">
      <c r="A2" s="22" t="s">
        <v>18</v>
      </c>
      <c r="B2" t="s">
        <v>17</v>
      </c>
      <c r="C2" t="s">
        <v>16</v>
      </c>
      <c r="D2" t="s">
        <v>17</v>
      </c>
      <c r="E2" t="s">
        <v>16</v>
      </c>
      <c r="F2" t="s">
        <v>15</v>
      </c>
      <c r="H2" t="s">
        <v>19</v>
      </c>
    </row>
    <row r="3" spans="1:8" x14ac:dyDescent="0.25">
      <c r="A3" s="22" t="s">
        <v>12</v>
      </c>
      <c r="B3" s="23">
        <f>INDEX(Usinage[],MATCH(A3,reference,0),10)/3600/24</f>
        <v>9.227693522417987E-4</v>
      </c>
      <c r="C3" s="23">
        <f>1.56/60/24</f>
        <v>1.0833333333333335E-3</v>
      </c>
      <c r="D3" s="23">
        <f>B3/H3</f>
        <v>2.3069233806044968E-4</v>
      </c>
      <c r="E3" s="23">
        <f>C3/H3</f>
        <v>2.7083333333333338E-4</v>
      </c>
      <c r="F3" s="23">
        <f>0.748/60/24</f>
        <v>5.1944444444444445E-4</v>
      </c>
      <c r="G3" t="b">
        <f t="shared" ref="G3:G5" si="0">E3&gt;D3</f>
        <v>1</v>
      </c>
      <c r="H3">
        <f>INDEX(Usinage[],MATCH(A3,reference,0),6)</f>
        <v>4</v>
      </c>
    </row>
    <row r="4" spans="1:8" x14ac:dyDescent="0.25">
      <c r="A4" s="22" t="s">
        <v>26</v>
      </c>
      <c r="B4" s="23">
        <f>INDEX(Usinage[],MATCH(A4,reference,0),10)/3600/24</f>
        <v>3.832697338528103E-3</v>
      </c>
      <c r="C4" s="23">
        <f>5.54/60/24</f>
        <v>3.8472222222222224E-3</v>
      </c>
      <c r="D4" s="23">
        <f t="shared" ref="D4:D9" si="1">B4/H4</f>
        <v>3.832697338528103E-3</v>
      </c>
      <c r="E4" s="23">
        <f t="shared" ref="E4:E9" si="2">C4/H4</f>
        <v>3.8472222222222224E-3</v>
      </c>
      <c r="F4" s="23">
        <f>6.35/60/24</f>
        <v>4.409722222222222E-3</v>
      </c>
      <c r="G4" t="b">
        <f t="shared" si="0"/>
        <v>1</v>
      </c>
      <c r="H4">
        <f>INDEX(Usinage[],MATCH(A4,reference,0),6)</f>
        <v>1</v>
      </c>
    </row>
    <row r="5" spans="1:8" x14ac:dyDescent="0.25">
      <c r="A5" s="22" t="s">
        <v>13</v>
      </c>
      <c r="B5" s="23">
        <f>INDEX(Usinage[],MATCH(A5,reference,0),10)/3600/24</f>
        <v>2.7160734600490993E-3</v>
      </c>
      <c r="C5" s="23">
        <f>4.23/60/24</f>
        <v>2.9375000000000004E-3</v>
      </c>
      <c r="D5" s="23">
        <f t="shared" si="1"/>
        <v>6.7901836501227484E-4</v>
      </c>
      <c r="E5" s="23">
        <f t="shared" si="2"/>
        <v>7.3437500000000011E-4</v>
      </c>
      <c r="F5" s="23">
        <f>1.998/60/24</f>
        <v>1.3875000000000001E-3</v>
      </c>
      <c r="G5" t="b">
        <f t="shared" si="0"/>
        <v>1</v>
      </c>
      <c r="H5">
        <f>INDEX(Usinage[],MATCH(A5,reference,0),6)</f>
        <v>4</v>
      </c>
    </row>
    <row r="6" spans="1:8" x14ac:dyDescent="0.25">
      <c r="A6" s="22" t="s">
        <v>14</v>
      </c>
      <c r="B6" s="23">
        <f>INDEX(Usinage[],MATCH(A6,reference,0),10)/3600/24</f>
        <v>1.8912036330611618E-3</v>
      </c>
      <c r="C6" s="23">
        <f>2.57/60/24</f>
        <v>1.784722222222222E-3</v>
      </c>
      <c r="D6" s="23">
        <f t="shared" si="1"/>
        <v>4.7280090826529045E-4</v>
      </c>
      <c r="E6" s="23">
        <f t="shared" si="2"/>
        <v>4.4618055555555551E-4</v>
      </c>
      <c r="F6" s="23">
        <f>0.93/60/24</f>
        <v>6.4583333333333344E-4</v>
      </c>
      <c r="G6" t="b">
        <f t="shared" ref="G6:G11" si="3">E6&gt;D6</f>
        <v>0</v>
      </c>
      <c r="H6">
        <f>INDEX(Usinage[],MATCH(A6,reference,0),6)</f>
        <v>4</v>
      </c>
    </row>
    <row r="7" spans="1:8" x14ac:dyDescent="0.25">
      <c r="A7" s="22" t="s">
        <v>21</v>
      </c>
      <c r="B7" s="23">
        <f>INDEX(Usinage[],MATCH(A7,reference,0),10)/3600/24</f>
        <v>5.6358482219554763E-3</v>
      </c>
      <c r="C7" s="23">
        <f>8.27/60/24</f>
        <v>5.7430555555555559E-3</v>
      </c>
      <c r="D7" s="23">
        <f t="shared" si="1"/>
        <v>2.8179241109777381E-3</v>
      </c>
      <c r="E7" s="23">
        <f t="shared" si="2"/>
        <v>2.871527777777778E-3</v>
      </c>
      <c r="F7" s="23">
        <f>3.89/60/24</f>
        <v>2.701388888888889E-3</v>
      </c>
      <c r="G7" t="b">
        <f t="shared" si="3"/>
        <v>1</v>
      </c>
      <c r="H7">
        <f>INDEX(Usinage[],MATCH(A7,reference,0),6)</f>
        <v>2</v>
      </c>
    </row>
    <row r="8" spans="1:8" x14ac:dyDescent="0.25">
      <c r="A8" s="22" t="s">
        <v>23</v>
      </c>
      <c r="B8" s="23">
        <f>INDEX(Usinage[],MATCH(A8,reference,0),10)/3600/24</f>
        <v>5.982812245686849E-3</v>
      </c>
      <c r="C8" s="23">
        <f>10.38/60/24</f>
        <v>7.208333333333334E-3</v>
      </c>
      <c r="D8" s="23">
        <f t="shared" si="1"/>
        <v>2.9914061228434245E-3</v>
      </c>
      <c r="E8" s="23">
        <f t="shared" si="2"/>
        <v>3.604166666666667E-3</v>
      </c>
      <c r="F8" s="23">
        <f>4.7/60/24</f>
        <v>3.2638888888888891E-3</v>
      </c>
      <c r="G8" t="b">
        <f t="shared" si="3"/>
        <v>1</v>
      </c>
      <c r="H8">
        <f>INDEX(Usinage[],MATCH(A8,reference,0),6)</f>
        <v>2</v>
      </c>
    </row>
    <row r="9" spans="1:8" x14ac:dyDescent="0.25">
      <c r="A9" s="22" t="s">
        <v>24</v>
      </c>
      <c r="B9" s="23">
        <f>INDEX(Usinage[],MATCH(A9,reference,0),10)/3600/24</f>
        <v>7.7152845594618061E-3</v>
      </c>
      <c r="C9" s="23">
        <f>10.91/60/24</f>
        <v>7.5763888888888895E-3</v>
      </c>
      <c r="D9" s="23">
        <f t="shared" si="1"/>
        <v>1.285880759910301E-3</v>
      </c>
      <c r="E9" s="23">
        <f t="shared" si="2"/>
        <v>1.2627314814814816E-3</v>
      </c>
      <c r="F9" s="23">
        <f>2.3/60/24</f>
        <v>1.5972222222222221E-3</v>
      </c>
      <c r="G9" t="b">
        <f t="shared" si="3"/>
        <v>0</v>
      </c>
      <c r="H9">
        <f>INDEX(Usinage[],MATCH(A9,reference,0),6)</f>
        <v>6</v>
      </c>
    </row>
    <row r="10" spans="1:8" x14ac:dyDescent="0.25">
      <c r="A10" s="22" t="s">
        <v>25</v>
      </c>
      <c r="B10" s="23">
        <f>INDEX(Usinage[],MATCH(A10,reference,0),10)/3600/24</f>
        <v>4.3073329219111686E-3</v>
      </c>
      <c r="C10" s="23">
        <f>6.36/60/24</f>
        <v>4.4166666666666668E-3</v>
      </c>
      <c r="D10" s="23">
        <f t="shared" ref="D10" si="4">B10/H10</f>
        <v>4.3073329219111686E-3</v>
      </c>
      <c r="E10" s="23">
        <f t="shared" ref="E10" si="5">C10/H10</f>
        <v>4.4166666666666668E-3</v>
      </c>
      <c r="F10" s="23">
        <f>1.85/60/24</f>
        <v>1.2847222222222223E-3</v>
      </c>
      <c r="G10" t="b">
        <f t="shared" si="3"/>
        <v>1</v>
      </c>
      <c r="H10">
        <f>INDEX(Usinage[],MATCH(A10,reference,0),6)</f>
        <v>1</v>
      </c>
    </row>
    <row r="11" spans="1:8" x14ac:dyDescent="0.25">
      <c r="A11" s="22" t="s">
        <v>6</v>
      </c>
      <c r="B11" s="23">
        <f>INDEX(Usinage[],MATCH(A11,reference,0),10)/3600/24</f>
        <v>1.9756262390701858E-3</v>
      </c>
      <c r="C11" s="23">
        <f>2.79/60/24</f>
        <v>1.9375E-3</v>
      </c>
      <c r="D11" s="23">
        <f t="shared" ref="D11" si="6">B11/H11</f>
        <v>9.8781311953509291E-4</v>
      </c>
      <c r="E11" s="23">
        <f t="shared" ref="E11" si="7">C11/H11</f>
        <v>9.6874999999999999E-4</v>
      </c>
      <c r="F11" s="23">
        <f>1.5/60/24</f>
        <v>1.0416666666666667E-3</v>
      </c>
      <c r="G11" t="b">
        <f t="shared" si="3"/>
        <v>0</v>
      </c>
      <c r="H11">
        <f>INDEX(Usinage[],MATCH(A11,reference,0),6)</f>
        <v>2</v>
      </c>
    </row>
    <row r="12" spans="1:8" x14ac:dyDescent="0.25">
      <c r="A12" s="22" t="s">
        <v>27</v>
      </c>
      <c r="B12" s="23">
        <f>INDEX(Usinage[],MATCH(A12,reference,0),10)/3600/24</f>
        <v>3.5828548007541231E-3</v>
      </c>
      <c r="C12" s="23">
        <f>5.47/60/24</f>
        <v>3.7986111111111107E-3</v>
      </c>
      <c r="D12" s="23">
        <f t="shared" ref="D12" si="8">B12/H12</f>
        <v>8.9571370018853077E-4</v>
      </c>
      <c r="E12" s="23">
        <f t="shared" ref="E12" si="9">C12/H12</f>
        <v>9.4965277777777767E-4</v>
      </c>
      <c r="F12" s="23">
        <f>1.3/60/24</f>
        <v>9.0277777777777784E-4</v>
      </c>
      <c r="G12" t="b">
        <f t="shared" ref="G12:G13" si="10">E12&gt;D12</f>
        <v>1</v>
      </c>
      <c r="H12">
        <f>INDEX(Usinage[],MATCH(A12,reference,0),6)</f>
        <v>4</v>
      </c>
    </row>
    <row r="13" spans="1:8" x14ac:dyDescent="0.25">
      <c r="A13" s="22" t="s">
        <v>28</v>
      </c>
      <c r="B13" s="23">
        <f>INDEX(Usinage[],MATCH(A13,reference,0),10)/3600/24</f>
        <v>2.0837158626980253E-3</v>
      </c>
      <c r="C13" s="23">
        <f>3/60/24</f>
        <v>2.0833333333333333E-3</v>
      </c>
      <c r="D13" s="23">
        <f t="shared" ref="D13" si="11">B13/H13</f>
        <v>2.0837158626980253E-3</v>
      </c>
      <c r="E13" s="23">
        <f t="shared" ref="E13" si="12">C13/H13</f>
        <v>2.0833333333333333E-3</v>
      </c>
      <c r="F13" s="23">
        <f>5.4/60/24</f>
        <v>3.7500000000000003E-3</v>
      </c>
      <c r="G13" t="b">
        <f t="shared" si="10"/>
        <v>0</v>
      </c>
      <c r="H13">
        <f>INDEX(Usinage[],MATCH(A13,reference,0),6)</f>
        <v>1</v>
      </c>
    </row>
    <row r="14" spans="1:8" x14ac:dyDescent="0.25">
      <c r="A14" s="22" t="s">
        <v>29</v>
      </c>
      <c r="B14" s="23">
        <f>INDEX(Usinage[],MATCH(A14,reference,0),10)/3600/24</f>
        <v>2.0194670006080909E-3</v>
      </c>
      <c r="C14" s="23">
        <f>2.9/60/24</f>
        <v>2.0138888888888888E-3</v>
      </c>
      <c r="D14" s="23">
        <f t="shared" ref="D14" si="13">B14/H14</f>
        <v>2.0194670006080909E-3</v>
      </c>
      <c r="E14" s="23">
        <f t="shared" ref="E14" si="14">C14/H14</f>
        <v>2.0138888888888888E-3</v>
      </c>
      <c r="F14" s="23">
        <f>2.8/60/24</f>
        <v>1.9444444444444442E-3</v>
      </c>
      <c r="G14" t="b">
        <f t="shared" ref="G14" si="15">E14&gt;D14</f>
        <v>0</v>
      </c>
      <c r="H14">
        <f>INDEX(Usinage[],MATCH(A14,reference,0),6)</f>
        <v>1</v>
      </c>
    </row>
  </sheetData>
  <mergeCells count="2">
    <mergeCell ref="B1:C1"/>
    <mergeCell ref="D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2" sqref="B2"/>
    </sheetView>
  </sheetViews>
  <sheetFormatPr baseColWidth="10" defaultRowHeight="15" x14ac:dyDescent="0.25"/>
  <cols>
    <col min="3" max="3" width="15.7109375" bestFit="1" customWidth="1"/>
    <col min="4" max="4" width="19" bestFit="1" customWidth="1"/>
    <col min="7" max="7" width="16.85546875" bestFit="1" customWidth="1"/>
    <col min="8" max="8" width="12.85546875" bestFit="1" customWidth="1"/>
    <col min="9" max="9" width="12.85546875" customWidth="1"/>
    <col min="10" max="10" width="2" bestFit="1" customWidth="1"/>
    <col min="12" max="12" width="2" bestFit="1" customWidth="1"/>
    <col min="13" max="13" width="5.5703125" bestFit="1" customWidth="1"/>
  </cols>
  <sheetData>
    <row r="1" spans="1:13" x14ac:dyDescent="0.25">
      <c r="A1" t="s">
        <v>36</v>
      </c>
    </row>
    <row r="2" spans="1:13" x14ac:dyDescent="0.25">
      <c r="A2" t="s">
        <v>37</v>
      </c>
      <c r="B2" t="s">
        <v>14</v>
      </c>
      <c r="C2" s="24">
        <f>INDEX(Usinage[],MATCH(B2,reference,0),10)</f>
        <v>163.39999389648437</v>
      </c>
      <c r="D2" s="24">
        <f>E2-C2</f>
        <v>165.24002075195312</v>
      </c>
      <c r="E2" s="24">
        <f>INDEX(Usinage[],MATCH(B2,reference,0),9)</f>
        <v>328.6400146484375</v>
      </c>
      <c r="F2" s="25">
        <f>MAX(C2,D2)</f>
        <v>165.24002075195312</v>
      </c>
      <c r="G2" s="25"/>
      <c r="H2" s="25"/>
    </row>
    <row r="3" spans="1:13" x14ac:dyDescent="0.25">
      <c r="C3" t="s">
        <v>30</v>
      </c>
      <c r="D3" t="s">
        <v>32</v>
      </c>
      <c r="E3" t="s">
        <v>31</v>
      </c>
      <c r="F3" t="s">
        <v>33</v>
      </c>
      <c r="G3" t="s">
        <v>34</v>
      </c>
      <c r="H3" t="s">
        <v>35</v>
      </c>
    </row>
    <row r="4" spans="1:13" x14ac:dyDescent="0.25">
      <c r="A4" t="str">
        <f>A2</f>
        <v>A</v>
      </c>
      <c r="B4" t="str">
        <f>B2</f>
        <v>274077E</v>
      </c>
      <c r="C4" s="23">
        <f>C2/3600/24</f>
        <v>1.8912036330611618E-3</v>
      </c>
      <c r="D4" s="23">
        <f>D2/3600/24</f>
        <v>1.9125002401846425E-3</v>
      </c>
      <c r="E4" s="23">
        <f>E2/3600/24</f>
        <v>3.8037038732458045E-3</v>
      </c>
      <c r="F4" s="23">
        <f>F2/3600/24</f>
        <v>1.9125002401846425E-3</v>
      </c>
      <c r="G4" s="23">
        <f>IF($C$4&lt;D5,D5-$C$4,0)</f>
        <v>2.1296607123480688E-5</v>
      </c>
      <c r="H4" s="23">
        <f>IF($C$4&gt;D5,$C$4-D5,0)</f>
        <v>0</v>
      </c>
    </row>
    <row r="5" spans="1:13" x14ac:dyDescent="0.25">
      <c r="A5" t="s">
        <v>41</v>
      </c>
      <c r="B5" t="str">
        <f>INDEX(B12:H23,M9,1)</f>
        <v>274077E</v>
      </c>
      <c r="C5" s="23">
        <f>INDEX(B12:H23,M9,2)/3600/24</f>
        <v>1.8912036330611618E-3</v>
      </c>
      <c r="D5" s="23">
        <f>INDEX(B12:H23,M9,3)/3600/24</f>
        <v>1.9125002401846425E-3</v>
      </c>
      <c r="E5" s="23">
        <f>INDEX(B12:H23,M9,4)/3600/24</f>
        <v>3.8037038732458045E-3</v>
      </c>
      <c r="F5" s="23">
        <f>INDEX(B12:H23,M9,5)/3600/24</f>
        <v>1.9125002401846425E-3</v>
      </c>
      <c r="G5" s="23">
        <f>INDEX(B12:H23,M9,6)/3600/24</f>
        <v>4.2593214246961809E-5</v>
      </c>
      <c r="H5" s="23">
        <f>INDEX(B12:H23,M9,7)/3600/24</f>
        <v>0</v>
      </c>
      <c r="I5" s="38"/>
    </row>
    <row r="6" spans="1:13" x14ac:dyDescent="0.25">
      <c r="A6" t="s">
        <v>42</v>
      </c>
      <c r="B6" t="str">
        <f>INDEX(B12:H23,M10,1)</f>
        <v>317703A</v>
      </c>
      <c r="C6" s="23">
        <f>INDEX(B12:H23,M10,2)/3600/24</f>
        <v>1.9756262390701858E-3</v>
      </c>
      <c r="D6" s="23">
        <f>INDEX(B12:H23,M10,3)/3600/24</f>
        <v>2.1749999788072375E-3</v>
      </c>
      <c r="E6" s="23">
        <f>INDEX(B12:H23,M10,4)/3600/24</f>
        <v>4.1506262178774228E-3</v>
      </c>
      <c r="F6" s="23">
        <f>INDEX(B12:H23,M10,5)/3600/24</f>
        <v>2.1749999788072375E-3</v>
      </c>
      <c r="G6" s="23">
        <f>INDEX(B12:H23,M10,6)/3600/24</f>
        <v>2.8379634574607565E-4</v>
      </c>
      <c r="H6" s="23">
        <f>INDEX(B12:H23,M10,7)/3600/24</f>
        <v>6.3125998885543252E-5</v>
      </c>
    </row>
    <row r="7" spans="1:13" x14ac:dyDescent="0.25">
      <c r="A7" t="s">
        <v>43</v>
      </c>
      <c r="B7" t="str">
        <f>INDEX(B12:H23,M11,1)</f>
        <v>313152</v>
      </c>
      <c r="C7" s="23">
        <f>INDEX(B12:H23,M11,2)/3600/24</f>
        <v>2.0194670006080909E-3</v>
      </c>
      <c r="D7" s="23">
        <f>INDEX(B12:H23,M11,3)/3600/24</f>
        <v>2.4541665889598707E-3</v>
      </c>
      <c r="E7" s="23">
        <f>INDEX(B12:H23,M11,4)/3600/24</f>
        <v>4.4736335895679616E-3</v>
      </c>
      <c r="F7" s="23">
        <f>INDEX(B12:H23,M11,5)/3600/24</f>
        <v>2.4541665889598707E-3</v>
      </c>
      <c r="G7" s="23">
        <f>INDEX(B12:H23,M11,6)/3600/24</f>
        <v>5.6296295589870879E-4</v>
      </c>
      <c r="H7" s="23">
        <f>INDEX(B12:H23,M11,7)/3600/24</f>
        <v>1.0696676042344835E-4</v>
      </c>
    </row>
    <row r="8" spans="1:13" x14ac:dyDescent="0.25">
      <c r="C8" s="23"/>
      <c r="D8" s="23"/>
      <c r="E8" s="23"/>
      <c r="F8" s="23"/>
      <c r="G8" s="23"/>
      <c r="H8" s="23"/>
    </row>
    <row r="9" spans="1:13" x14ac:dyDescent="0.25">
      <c r="C9" s="23"/>
      <c r="D9" s="23"/>
      <c r="E9" s="23"/>
      <c r="F9" s="23"/>
      <c r="G9" s="24">
        <v>1</v>
      </c>
      <c r="H9" s="23" t="s">
        <v>40</v>
      </c>
      <c r="I9" s="24">
        <f>MIN(I12:I23)</f>
        <v>0</v>
      </c>
      <c r="J9">
        <f>COUNTIF(J12:J23,G9)</f>
        <v>0</v>
      </c>
      <c r="K9" s="24">
        <f>MIN(K12:K23)</f>
        <v>3.6800537109375</v>
      </c>
      <c r="M9">
        <f>MATCH(G9,M12:M23,0)</f>
        <v>9</v>
      </c>
    </row>
    <row r="10" spans="1:13" x14ac:dyDescent="0.25">
      <c r="C10" s="23"/>
      <c r="D10" s="23"/>
      <c r="E10" s="23"/>
      <c r="F10" s="23"/>
      <c r="G10" s="24">
        <v>2</v>
      </c>
      <c r="H10" s="23" t="s">
        <v>38</v>
      </c>
      <c r="I10" s="24" t="e">
        <f>SMALL(I12:I23,2)</f>
        <v>#NUM!</v>
      </c>
      <c r="J10">
        <f>COUNTIF(J12:J23,G10)</f>
        <v>0</v>
      </c>
      <c r="K10" s="24">
        <f>SMALL(K12:K23,2)</f>
        <v>29.974090576171875</v>
      </c>
      <c r="M10">
        <f>MATCH(G10,M12:M23,0)</f>
        <v>7</v>
      </c>
    </row>
    <row r="11" spans="1:13" x14ac:dyDescent="0.25">
      <c r="G11" s="24">
        <v>3</v>
      </c>
      <c r="H11" t="s">
        <v>39</v>
      </c>
      <c r="I11" s="24" t="e">
        <f>SMALL(I12:I23,3)</f>
        <v>#NUM!</v>
      </c>
      <c r="J11">
        <f>COUNTIF(J13:J24,G11)</f>
        <v>0</v>
      </c>
      <c r="K11" s="24">
        <f>SMALL(K12:K23,3)</f>
        <v>57.881927490234375</v>
      </c>
      <c r="M11">
        <f>MATCH(G11,M12:M23,0)</f>
        <v>11</v>
      </c>
    </row>
    <row r="12" spans="1:13" x14ac:dyDescent="0.25">
      <c r="B12" t="str">
        <f>Données!C2</f>
        <v>224263D</v>
      </c>
      <c r="C12">
        <f>Données!K2</f>
        <v>79.727272033691406</v>
      </c>
      <c r="D12" s="24">
        <f>E12-C12</f>
        <v>188.27999114990234</v>
      </c>
      <c r="E12">
        <f>Données!J2</f>
        <v>268.00726318359375</v>
      </c>
      <c r="F12" s="25">
        <f>MAX(C12,D12)</f>
        <v>188.27999114990234</v>
      </c>
      <c r="G12" s="24">
        <f>IF($C$2&lt;D12,D12-$C$2,0)+IF($D$2&gt;C12,$D$2-C12,0)</f>
        <v>110.39274597167969</v>
      </c>
      <c r="H12" s="25">
        <f>IF($C$2&gt;D12,$C$2-D12,0)+IF($D$2&lt;C12,C12-$D$2,0)</f>
        <v>0</v>
      </c>
      <c r="I12" s="24" t="str">
        <f>IF(G12=0,H12,"")</f>
        <v/>
      </c>
      <c r="J12" t="e">
        <f>IF(I12=$I$9,$G$9,IF(I12=$I$10,$G$10,IF(I12=$I$11,$G$11,"")))</f>
        <v>#NUM!</v>
      </c>
      <c r="K12" s="25">
        <f>SUM(G12:H12)</f>
        <v>110.39274597167969</v>
      </c>
      <c r="L12" t="str">
        <f>IF(K12=$K$9,$G$9,IF(K12=$K$10,$G$10,IF(K12=$K$11,$G$11,"")))</f>
        <v/>
      </c>
      <c r="M12" t="str">
        <f>IF($J$9=1,J12,L12)</f>
        <v/>
      </c>
    </row>
    <row r="13" spans="1:13" x14ac:dyDescent="0.25">
      <c r="B13" t="str">
        <f>Données!C3</f>
        <v>308969C</v>
      </c>
      <c r="C13">
        <f>Données!K3</f>
        <v>516.91497802734375</v>
      </c>
      <c r="D13" s="24">
        <f t="shared" ref="D13:D23" si="0">E13-C13</f>
        <v>199.79998779296875</v>
      </c>
      <c r="E13">
        <f>Données!J3</f>
        <v>716.7149658203125</v>
      </c>
      <c r="F13" s="25">
        <f t="shared" ref="F13:F23" si="1">MAX(C13,D13)</f>
        <v>516.91497802734375</v>
      </c>
      <c r="G13" s="25">
        <f>IF($C$2&lt;D13,D13-$C$2,0)+IF($D$2&gt;C13,$D$2-C13,0)</f>
        <v>36.399993896484375</v>
      </c>
      <c r="H13" s="25">
        <f>IF($C$2&gt;D13,$C$2-D13,0)+IF($D$2&lt;C13,C13-$D$2,0)</f>
        <v>351.67495727539062</v>
      </c>
      <c r="I13" s="24" t="str">
        <f t="shared" ref="I13:I23" si="2">IF(G13=0,H13,"")</f>
        <v/>
      </c>
      <c r="J13" t="e">
        <f t="shared" ref="J13:J23" si="3">IF(I13=$I$9,$G$9,IF(I13=$I$10,$G$10,IF(I13=$I$11,$G$11,"")))</f>
        <v>#NUM!</v>
      </c>
      <c r="K13" s="25">
        <f t="shared" ref="K13:K23" si="4">SUM(G13:H13)</f>
        <v>388.074951171875</v>
      </c>
      <c r="L13" t="str">
        <f t="shared" ref="L13:L23" si="5">IF(K13=$K$9,$G$9,IF(K13=$K$10,$G$10,IF(K13=$K$11,$G$11,"")))</f>
        <v/>
      </c>
      <c r="M13" t="str">
        <f>IF($J$9=1,J13,L13)</f>
        <v/>
      </c>
    </row>
    <row r="14" spans="1:13" x14ac:dyDescent="0.25">
      <c r="B14" t="str">
        <f>Données!C4</f>
        <v>290294A</v>
      </c>
      <c r="C14">
        <f>Données!K4</f>
        <v>486.93728637695312</v>
      </c>
      <c r="D14" s="24">
        <f t="shared" si="0"/>
        <v>260.44009399414062</v>
      </c>
      <c r="E14">
        <f>Données!J4</f>
        <v>747.37738037109375</v>
      </c>
      <c r="F14" s="25">
        <f t="shared" si="1"/>
        <v>486.93728637695312</v>
      </c>
      <c r="G14" s="25">
        <f>IF($C$2&lt;D14,D14-$C$2,0)+IF($D$2&gt;C14,$D$2-C14,0)</f>
        <v>97.04010009765625</v>
      </c>
      <c r="H14" s="25">
        <f>IF($C$2&gt;D14,$C$2-D14,0)+IF($D$2&lt;C14,C14-$D$2,0)</f>
        <v>321.697265625</v>
      </c>
      <c r="I14" s="24" t="str">
        <f t="shared" si="2"/>
        <v/>
      </c>
      <c r="J14" t="e">
        <f t="shared" si="3"/>
        <v>#NUM!</v>
      </c>
      <c r="K14" s="25">
        <f t="shared" si="4"/>
        <v>418.73736572265625</v>
      </c>
      <c r="L14" t="str">
        <f t="shared" si="5"/>
        <v/>
      </c>
      <c r="M14" t="str">
        <f>IF($J$9=1,J14,L14)</f>
        <v/>
      </c>
    </row>
    <row r="15" spans="1:13" x14ac:dyDescent="0.25">
      <c r="B15" t="str">
        <f>Données!C5</f>
        <v>303148</v>
      </c>
      <c r="C15">
        <f>Données!K5</f>
        <v>666.6005859375</v>
      </c>
      <c r="D15" s="24">
        <f t="shared" si="0"/>
        <v>303.47998046875</v>
      </c>
      <c r="E15">
        <f>Données!J5</f>
        <v>970.08056640625</v>
      </c>
      <c r="F15" s="25">
        <f t="shared" si="1"/>
        <v>666.6005859375</v>
      </c>
      <c r="G15" s="25">
        <f>IF($C$2&lt;D15,D15-$C$2,0)+IF($D$2&gt;C15,$D$2-C15,0)</f>
        <v>140.07998657226562</v>
      </c>
      <c r="H15" s="25">
        <f>IF($C$2&gt;D15,$C$2-D15,0)+IF($D$2&lt;C15,C15-$D$2,0)</f>
        <v>501.36056518554687</v>
      </c>
      <c r="I15" s="24" t="str">
        <f t="shared" si="2"/>
        <v/>
      </c>
      <c r="J15" t="e">
        <f t="shared" si="3"/>
        <v>#NUM!</v>
      </c>
      <c r="K15" s="25">
        <f t="shared" si="4"/>
        <v>641.4405517578125</v>
      </c>
      <c r="L15" t="str">
        <f t="shared" si="5"/>
        <v/>
      </c>
      <c r="M15" t="str">
        <f>IF($J$9=1,J15,L15)</f>
        <v/>
      </c>
    </row>
    <row r="16" spans="1:13" x14ac:dyDescent="0.25">
      <c r="B16" t="str">
        <f>Données!C6</f>
        <v>251094</v>
      </c>
      <c r="C16">
        <f>Données!K6</f>
        <v>234.66874694824219</v>
      </c>
      <c r="D16" s="24">
        <f t="shared" si="0"/>
        <v>199.08000183105469</v>
      </c>
      <c r="E16">
        <f>Données!J6</f>
        <v>433.74874877929687</v>
      </c>
      <c r="F16" s="25">
        <f t="shared" si="1"/>
        <v>234.66874694824219</v>
      </c>
      <c r="G16" s="25">
        <f>IF($C$2&lt;D16,D16-$C$2,0)+IF($D$2&gt;C16,$D$2-C16,0)</f>
        <v>35.680007934570313</v>
      </c>
      <c r="H16" s="25">
        <f>IF($C$2&gt;D16,$C$2-D16,0)+IF($D$2&lt;C16,C16-$D$2,0)</f>
        <v>69.428726196289063</v>
      </c>
      <c r="I16" s="24" t="str">
        <f t="shared" si="2"/>
        <v/>
      </c>
      <c r="J16" t="e">
        <f t="shared" si="3"/>
        <v>#NUM!</v>
      </c>
      <c r="K16" s="25">
        <f t="shared" si="4"/>
        <v>105.10873413085937</v>
      </c>
      <c r="L16" t="str">
        <f t="shared" si="5"/>
        <v/>
      </c>
      <c r="M16" t="str">
        <f>IF($J$9=1,J16,L16)</f>
        <v/>
      </c>
    </row>
    <row r="17" spans="2:13" x14ac:dyDescent="0.25">
      <c r="B17" t="str">
        <f>Données!C7</f>
        <v>303127</v>
      </c>
      <c r="C17">
        <f>Données!K7</f>
        <v>372.153564453125</v>
      </c>
      <c r="D17" s="24">
        <f t="shared" si="0"/>
        <v>218.15997314453125</v>
      </c>
      <c r="E17">
        <f>Données!J7</f>
        <v>590.31353759765625</v>
      </c>
      <c r="F17" s="25">
        <f t="shared" si="1"/>
        <v>372.153564453125</v>
      </c>
      <c r="G17" s="25">
        <f>IF($C$2&lt;D17,D17-$C$2,0)+IF($D$2&gt;C17,$D$2-C17,0)</f>
        <v>54.759979248046875</v>
      </c>
      <c r="H17" s="25">
        <f>IF($C$2&gt;D17,$C$2-D17,0)+IF($D$2&lt;C17,C17-$D$2,0)</f>
        <v>206.91354370117187</v>
      </c>
      <c r="I17" s="24" t="str">
        <f t="shared" si="2"/>
        <v/>
      </c>
      <c r="J17" t="e">
        <f t="shared" si="3"/>
        <v>#NUM!</v>
      </c>
      <c r="K17" s="25">
        <f t="shared" si="4"/>
        <v>261.67352294921875</v>
      </c>
      <c r="L17" t="str">
        <f t="shared" si="5"/>
        <v/>
      </c>
      <c r="M17" t="str">
        <f>IF($J$9=1,J17,L17)</f>
        <v/>
      </c>
    </row>
    <row r="18" spans="2:13" x14ac:dyDescent="0.25">
      <c r="B18" t="str">
        <f>Données!C8</f>
        <v>317703A</v>
      </c>
      <c r="C18">
        <f>Données!K8</f>
        <v>170.69410705566406</v>
      </c>
      <c r="D18" s="24">
        <f t="shared" si="0"/>
        <v>187.91999816894531</v>
      </c>
      <c r="E18">
        <f>Données!J8</f>
        <v>358.61410522460937</v>
      </c>
      <c r="F18" s="25">
        <f t="shared" si="1"/>
        <v>187.91999816894531</v>
      </c>
      <c r="G18" s="25">
        <f>IF($C$2&lt;D18,D18-$C$2,0)+IF($D$2&gt;C18,$D$2-C18,0)</f>
        <v>24.520004272460938</v>
      </c>
      <c r="H18" s="25">
        <f>IF($C$2&gt;D18,$C$2-D18,0)+IF($D$2&lt;C18,C18-$D$2,0)</f>
        <v>5.4540863037109375</v>
      </c>
      <c r="I18" s="24" t="str">
        <f t="shared" si="2"/>
        <v/>
      </c>
      <c r="J18" t="e">
        <f t="shared" si="3"/>
        <v>#NUM!</v>
      </c>
      <c r="K18" s="25">
        <f t="shared" si="4"/>
        <v>29.974090576171875</v>
      </c>
      <c r="L18">
        <f t="shared" si="5"/>
        <v>2</v>
      </c>
      <c r="M18">
        <f>IF($J$9=1,J18,L18)</f>
        <v>2</v>
      </c>
    </row>
    <row r="19" spans="2:13" x14ac:dyDescent="0.25">
      <c r="B19" t="str">
        <f>Données!C9</f>
        <v>313530A</v>
      </c>
      <c r="C19">
        <f>Données!K9</f>
        <v>309.55865478515625</v>
      </c>
      <c r="D19" s="24">
        <f t="shared" si="0"/>
        <v>234.3599853515625</v>
      </c>
      <c r="E19">
        <f>Données!J9</f>
        <v>543.91864013671875</v>
      </c>
      <c r="F19" s="25">
        <f t="shared" si="1"/>
        <v>309.55865478515625</v>
      </c>
      <c r="G19" s="25">
        <f>IF($C$2&lt;D19,D19-$C$2,0)+IF($D$2&gt;C19,$D$2-C19,0)</f>
        <v>70.959991455078125</v>
      </c>
      <c r="H19" s="25">
        <f>IF($C$2&gt;D19,$C$2-D19,0)+IF($D$2&lt;C19,C19-$D$2,0)</f>
        <v>144.31863403320312</v>
      </c>
      <c r="I19" s="24" t="str">
        <f t="shared" si="2"/>
        <v/>
      </c>
      <c r="J19" t="e">
        <f t="shared" si="3"/>
        <v>#NUM!</v>
      </c>
      <c r="K19" s="25">
        <f t="shared" si="4"/>
        <v>215.27862548828125</v>
      </c>
      <c r="L19" t="str">
        <f t="shared" si="5"/>
        <v/>
      </c>
      <c r="M19" t="str">
        <f>IF($J$9=1,J19,L19)</f>
        <v/>
      </c>
    </row>
    <row r="20" spans="2:13" x14ac:dyDescent="0.25">
      <c r="B20" t="str">
        <f>Données!C10</f>
        <v>274077E</v>
      </c>
      <c r="C20">
        <f>Données!K10</f>
        <v>163.39999389648437</v>
      </c>
      <c r="D20" s="24">
        <f t="shared" si="0"/>
        <v>165.24002075195312</v>
      </c>
      <c r="E20">
        <f>Données!J10</f>
        <v>328.6400146484375</v>
      </c>
      <c r="F20" s="25">
        <f t="shared" si="1"/>
        <v>165.24002075195312</v>
      </c>
      <c r="G20" s="25">
        <f>IF($C$2&lt;D20,D20-$C$2,0)+IF($D$2&gt;C20,$D$2-C20,0)</f>
        <v>3.6800537109375</v>
      </c>
      <c r="H20" s="25">
        <f>IF($C$2&gt;D20,$C$2-D20,0)+IF($D$2&lt;C20,C20-$D$2,0)</f>
        <v>0</v>
      </c>
      <c r="I20" s="24" t="str">
        <f t="shared" si="2"/>
        <v/>
      </c>
      <c r="J20" t="e">
        <f t="shared" si="3"/>
        <v>#NUM!</v>
      </c>
      <c r="K20" s="25">
        <f t="shared" si="4"/>
        <v>3.6800537109375</v>
      </c>
      <c r="L20">
        <f t="shared" si="5"/>
        <v>1</v>
      </c>
      <c r="M20">
        <f>IF($J$9=1,J20,L20)</f>
        <v>1</v>
      </c>
    </row>
    <row r="21" spans="2:13" x14ac:dyDescent="0.25">
      <c r="B21" t="str">
        <f>Données!C11</f>
        <v>309355A</v>
      </c>
      <c r="C21">
        <f>Données!K11</f>
        <v>180.03305053710937</v>
      </c>
      <c r="D21" s="24">
        <f t="shared" si="0"/>
        <v>253.44000244140625</v>
      </c>
      <c r="E21">
        <f>Données!J11</f>
        <v>433.47305297851562</v>
      </c>
      <c r="F21" s="25">
        <f t="shared" si="1"/>
        <v>253.44000244140625</v>
      </c>
      <c r="G21" s="25">
        <f>IF($C$2&lt;D21,D21-$C$2,0)+IF($D$2&gt;C21,$D$2-C21,0)</f>
        <v>90.040008544921875</v>
      </c>
      <c r="H21" s="25">
        <f>IF($C$2&gt;D21,$C$2-D21,0)+IF($D$2&lt;C21,C21-$D$2,0)</f>
        <v>14.79302978515625</v>
      </c>
      <c r="I21" s="24" t="str">
        <f t="shared" si="2"/>
        <v/>
      </c>
      <c r="J21" t="e">
        <f t="shared" si="3"/>
        <v>#NUM!</v>
      </c>
      <c r="K21" s="25">
        <f t="shared" si="4"/>
        <v>104.83303833007812</v>
      </c>
      <c r="L21" t="str">
        <f t="shared" si="5"/>
        <v/>
      </c>
      <c r="M21" t="str">
        <f>IF($J$9=1,J21,L21)</f>
        <v/>
      </c>
    </row>
    <row r="22" spans="2:13" x14ac:dyDescent="0.25">
      <c r="B22" t="str">
        <f>Données!C12</f>
        <v>313152</v>
      </c>
      <c r="C22">
        <f>Données!K12</f>
        <v>174.48194885253906</v>
      </c>
      <c r="D22" s="24">
        <f t="shared" si="0"/>
        <v>212.03999328613281</v>
      </c>
      <c r="E22">
        <f>Données!J12</f>
        <v>386.52194213867187</v>
      </c>
      <c r="F22" s="25">
        <f t="shared" si="1"/>
        <v>212.03999328613281</v>
      </c>
      <c r="G22" s="25">
        <f>IF($C$2&lt;D22,D22-$C$2,0)+IF($D$2&gt;C22,$D$2-C22,0)</f>
        <v>48.639999389648438</v>
      </c>
      <c r="H22" s="25">
        <f>IF($C$2&gt;D22,$C$2-D22,0)+IF($D$2&lt;C22,C22-$D$2,0)</f>
        <v>9.2419281005859375</v>
      </c>
      <c r="I22" s="24" t="str">
        <f t="shared" si="2"/>
        <v/>
      </c>
      <c r="J22" t="e">
        <f t="shared" si="3"/>
        <v>#NUM!</v>
      </c>
      <c r="K22" s="25">
        <f t="shared" si="4"/>
        <v>57.881927490234375</v>
      </c>
      <c r="L22">
        <f t="shared" si="5"/>
        <v>3</v>
      </c>
      <c r="M22">
        <f>IF($J$9=1,J22,L22)</f>
        <v>3</v>
      </c>
    </row>
    <row r="23" spans="2:13" x14ac:dyDescent="0.25">
      <c r="B23" t="str">
        <f>Données!C13</f>
        <v>290052</v>
      </c>
      <c r="C23">
        <f>Données!K13</f>
        <v>331.14505004882812</v>
      </c>
      <c r="D23" s="24">
        <f t="shared" si="0"/>
        <v>467.63998413085937</v>
      </c>
      <c r="E23">
        <f>Données!J13</f>
        <v>798.7850341796875</v>
      </c>
      <c r="F23" s="25">
        <f t="shared" si="1"/>
        <v>467.63998413085937</v>
      </c>
      <c r="G23" s="25">
        <f>IF($C$2&lt;D23,D23-$C$2,0)+IF($D$2&gt;C23,$D$2-C23,0)</f>
        <v>304.239990234375</v>
      </c>
      <c r="H23" s="25">
        <f>IF($C$2&gt;D23,$C$2-D23,0)+IF($D$2&lt;C23,C23-$D$2,0)</f>
        <v>165.905029296875</v>
      </c>
      <c r="I23" s="24" t="str">
        <f t="shared" si="2"/>
        <v/>
      </c>
      <c r="J23" t="e">
        <f t="shared" si="3"/>
        <v>#NUM!</v>
      </c>
      <c r="K23" s="25">
        <f t="shared" si="4"/>
        <v>470.14501953125</v>
      </c>
      <c r="L23" t="str">
        <f t="shared" si="5"/>
        <v/>
      </c>
      <c r="M23" t="str">
        <f>IF($J$9=1,J23,L23)</f>
        <v/>
      </c>
    </row>
    <row r="24" spans="2:13" x14ac:dyDescent="0.25">
      <c r="L24" t="str">
        <f>IF($K$9=K24,"x","")</f>
        <v/>
      </c>
    </row>
  </sheetData>
  <dataValidations count="1">
    <dataValidation type="list" showInputMessage="1" showErrorMessage="1" sqref="B2">
      <formula1>reference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Calcul</vt:lpstr>
      <vt:lpstr>Données</vt:lpstr>
      <vt:lpstr>Rapprochement Estim Real vendu</vt:lpstr>
      <vt:lpstr>Equilibrage</vt:lpstr>
      <vt:lpstr>reference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2014-11-13T14:49:50Z</cp:lastPrinted>
  <dcterms:created xsi:type="dcterms:W3CDTF">2014-11-12T08:20:27Z</dcterms:created>
  <dcterms:modified xsi:type="dcterms:W3CDTF">2015-06-22T11:47:20Z</dcterms:modified>
</cp:coreProperties>
</file>