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4780" windowHeight="12405" tabRatio="394"/>
  </bookViews>
  <sheets>
    <sheet name="Calcul Sequence" sheetId="4" r:id="rId1"/>
    <sheet name="Calcul Temps Technique" sheetId="1" r:id="rId2"/>
    <sheet name="Abaques" sheetId="3" state="hidden" r:id="rId3"/>
    <sheet name="Manutention" sheetId="5" state="hidden" r:id="rId4"/>
  </sheets>
  <functionGroups builtInGroupCount="17"/>
  <definedNames>
    <definedName name="Alesage">Abaques!$AU$3</definedName>
    <definedName name="AlesageExt">Abaques!$AU$3:$AX$3</definedName>
    <definedName name="calcul_operation">'Calcul Temps Technique'!$C$11:$C$30</definedName>
    <definedName name="CalculEpaisseur">'Calcul Temps Technique'!$D$4</definedName>
    <definedName name="Chanfreinage">Tableau13[Ø]</definedName>
    <definedName name="ChanfreinageExt">Tableau13[]</definedName>
    <definedName name="Contournage">Abaques!$AO$3:$AO$4</definedName>
    <definedName name="ContournageExt">Abaques!$AO$3:$AS$4</definedName>
    <definedName name="FiletageGaz">Abaques!$AE$3:$AE$14</definedName>
    <definedName name="FiletageGazExt">Abaques!$AE$3:$AG$14</definedName>
    <definedName name="FiletageMetrique">Abaques!$AA$3:$AA$32</definedName>
    <definedName name="FiletageMetriqueExt">Abaques!$AA$3:$AD$32</definedName>
    <definedName name="Matieres">Abaques!$C$3:$C$4</definedName>
    <definedName name="MatieresExt">Abaques!$C$2:$D$4</definedName>
    <definedName name="Operations">Abaques!$A$3:$A$9</definedName>
    <definedName name="Percage">Abaques!$V$3:$V$5</definedName>
    <definedName name="PercageExt">Abaques!$V$3:$Y$5</definedName>
    <definedName name="Surfacage">Abaques!$AI$3:$AI$6</definedName>
    <definedName name="SurfacageExt">Abaques!$AI$3:$AM$7</definedName>
    <definedName name="TypeOutil">Abaques!$F$3:$F$5</definedName>
    <definedName name="_xlnm.Print_Area" localSheetId="0">'Calcul Sequence'!$A$1:$O$32</definedName>
  </definedNames>
  <calcPr calcId="145621"/>
</workbook>
</file>

<file path=xl/calcChain.xml><?xml version="1.0" encoding="utf-8"?>
<calcChain xmlns="http://schemas.openxmlformats.org/spreadsheetml/2006/main">
  <c r="M12" i="1" l="1"/>
  <c r="L12" i="1"/>
  <c r="K12" i="1"/>
  <c r="J12" i="1"/>
  <c r="I12" i="1"/>
  <c r="H12" i="1"/>
  <c r="M11" i="1"/>
  <c r="L11" i="1"/>
  <c r="K11" i="1"/>
  <c r="J11" i="1"/>
  <c r="I11" i="1"/>
  <c r="H11" i="1"/>
  <c r="B1" i="4" l="1"/>
  <c r="M29" i="4" l="1"/>
  <c r="M23" i="4"/>
  <c r="C5" i="4" l="1"/>
  <c r="C6" i="4"/>
  <c r="M30" i="4" s="1"/>
  <c r="M32" i="4"/>
  <c r="N32" i="4" s="1"/>
  <c r="O32" i="4" s="1"/>
  <c r="C31" i="4"/>
  <c r="H31" i="4"/>
  <c r="G31" i="4"/>
  <c r="F31" i="4"/>
  <c r="H29" i="4"/>
  <c r="G29" i="4"/>
  <c r="F29" i="4"/>
  <c r="E29" i="4"/>
  <c r="D29" i="4"/>
  <c r="C29" i="4"/>
  <c r="E27" i="4"/>
  <c r="F27" i="4"/>
  <c r="G27" i="4"/>
  <c r="H27" i="4"/>
  <c r="D27" i="4"/>
  <c r="C27" i="4"/>
  <c r="N23" i="4"/>
  <c r="O23" i="4" s="1"/>
  <c r="N24" i="4"/>
  <c r="O24" i="4" s="1"/>
  <c r="N25" i="4"/>
  <c r="O25" i="4" s="1"/>
  <c r="N27" i="4"/>
  <c r="O27" i="4" s="1"/>
  <c r="N28" i="4"/>
  <c r="O28" i="4" s="1"/>
  <c r="D30" i="4"/>
  <c r="G30" i="4"/>
  <c r="H30" i="4"/>
  <c r="C30" i="4"/>
  <c r="J2" i="5"/>
  <c r="J3" i="5" s="1"/>
  <c r="J4" i="5" s="1"/>
  <c r="K2" i="5"/>
  <c r="J10" i="5" s="1"/>
  <c r="K10" i="5" s="1"/>
  <c r="L10" i="5" s="1"/>
  <c r="O3" i="5"/>
  <c r="M21" i="4" l="1"/>
  <c r="M22" i="4"/>
  <c r="N22" i="4" s="1"/>
  <c r="O22" i="4" s="1"/>
  <c r="N29" i="4"/>
  <c r="O29" i="4" s="1"/>
  <c r="M31" i="4"/>
  <c r="E21" i="4"/>
  <c r="E31" i="4" s="1"/>
  <c r="N31" i="4" s="1"/>
  <c r="O31" i="4" s="1"/>
  <c r="K3" i="5"/>
  <c r="K4" i="5" s="1"/>
  <c r="J6" i="5" s="1"/>
  <c r="K6" i="5" s="1"/>
  <c r="K7" i="5" s="1"/>
  <c r="K11" i="5"/>
  <c r="F21" i="4" s="1"/>
  <c r="F30" i="4" s="1"/>
  <c r="J4" i="1"/>
  <c r="K4" i="1" s="1"/>
  <c r="L4" i="1" s="1"/>
  <c r="BB3" i="3"/>
  <c r="AW3" i="3"/>
  <c r="AQ3" i="3"/>
  <c r="AQ4" i="3"/>
  <c r="AK3" i="3"/>
  <c r="AK4" i="3"/>
  <c r="AK5" i="3"/>
  <c r="AK6" i="3"/>
  <c r="N21" i="4" l="1"/>
  <c r="O21" i="4" s="1"/>
  <c r="E30" i="4"/>
  <c r="N30" i="4" s="1"/>
  <c r="O30" i="4" s="1"/>
  <c r="J3" i="1"/>
  <c r="AC32" i="3"/>
  <c r="AC31" i="3"/>
  <c r="AC30" i="3"/>
  <c r="P31" i="3"/>
  <c r="AC29" i="3"/>
  <c r="P30" i="3"/>
  <c r="AC28" i="3"/>
  <c r="P29" i="3"/>
  <c r="AC27" i="3"/>
  <c r="P28" i="3"/>
  <c r="AC26" i="3"/>
  <c r="P27" i="3"/>
  <c r="AC25" i="3"/>
  <c r="P26" i="3"/>
  <c r="AC24" i="3"/>
  <c r="P25" i="3"/>
  <c r="AC23" i="3"/>
  <c r="P24" i="3"/>
  <c r="AC22" i="3"/>
  <c r="P23" i="3"/>
  <c r="AC21" i="3"/>
  <c r="P22" i="3"/>
  <c r="AC20" i="3"/>
  <c r="P21" i="3"/>
  <c r="AC19" i="3"/>
  <c r="P20" i="3"/>
  <c r="D20" i="3"/>
  <c r="AC18" i="3"/>
  <c r="P19" i="3"/>
  <c r="AC17" i="3"/>
  <c r="P18" i="3"/>
  <c r="AC16" i="3"/>
  <c r="P17" i="3"/>
  <c r="AC15" i="3"/>
  <c r="P16" i="3"/>
  <c r="AC14" i="3"/>
  <c r="P15" i="3"/>
  <c r="AC13" i="3"/>
  <c r="P14" i="3"/>
  <c r="AC12" i="3"/>
  <c r="P13" i="3"/>
  <c r="AC11" i="3"/>
  <c r="P12" i="3"/>
  <c r="AC10" i="3"/>
  <c r="P11" i="3"/>
  <c r="AC9" i="3"/>
  <c r="P10" i="3"/>
  <c r="AC8" i="3"/>
  <c r="P9" i="3"/>
  <c r="AC7" i="3"/>
  <c r="P8" i="3"/>
  <c r="AC6" i="3"/>
  <c r="P7" i="3"/>
  <c r="AC5" i="3"/>
  <c r="P6" i="3"/>
  <c r="AC4" i="3"/>
  <c r="P5" i="3"/>
  <c r="AC3" i="3"/>
  <c r="P4" i="3"/>
  <c r="K3" i="1" l="1"/>
  <c r="L3" i="1" s="1"/>
  <c r="J5" i="1"/>
  <c r="J6" i="1" l="1"/>
  <c r="J7" i="1" s="1"/>
  <c r="K5" i="1"/>
  <c r="L5" i="1" s="1"/>
  <c r="K6" i="1" l="1"/>
  <c r="L26" i="4"/>
  <c r="N26" i="4" s="1"/>
  <c r="O26" i="4" s="1"/>
  <c r="K7" i="1" l="1"/>
  <c r="L7" i="1" s="1"/>
  <c r="L6" i="1"/>
  <c r="O2" i="4"/>
  <c r="O3" i="4" s="1"/>
  <c r="O6" i="4"/>
  <c r="O4" i="4" l="1"/>
  <c r="O9" i="4"/>
  <c r="O8" i="4"/>
  <c r="O7" i="4"/>
</calcChain>
</file>

<file path=xl/sharedStrings.xml><?xml version="1.0" encoding="utf-8"?>
<sst xmlns="http://schemas.openxmlformats.org/spreadsheetml/2006/main" count="207" uniqueCount="156">
  <si>
    <t>Nuance ISO</t>
  </si>
  <si>
    <t>Matériaux à usiner</t>
  </si>
  <si>
    <t>Perçage</t>
  </si>
  <si>
    <t>Acier Rapide</t>
  </si>
  <si>
    <t>Acier Rapide Revêtu</t>
  </si>
  <si>
    <t>Carbure</t>
  </si>
  <si>
    <t>P</t>
  </si>
  <si>
    <t>Acier Non Allié</t>
  </si>
  <si>
    <t>Acier Faiblement Allié</t>
  </si>
  <si>
    <t>Acier Fortement Allié</t>
  </si>
  <si>
    <t>Acier Moulé Faiblement Allié</t>
  </si>
  <si>
    <t>M</t>
  </si>
  <si>
    <t>Acier inoxydable</t>
  </si>
  <si>
    <t>K</t>
  </si>
  <si>
    <t>Fonte lamellaire (EN-GJL…)</t>
  </si>
  <si>
    <t>Fonte Modulaire (EN-GJM…)</t>
  </si>
  <si>
    <t>Fonte Sphéroïdales (EN-GJS…)</t>
  </si>
  <si>
    <t>K-N</t>
  </si>
  <si>
    <t>Alliages d'aluminium de faible dureté sans silicium (AW 2030 …)</t>
  </si>
  <si>
    <t>Alliages d'aluminium durs sans silicium ou %Si moyen (AW2017, AW 6060 …)</t>
  </si>
  <si>
    <t>Alliages d'aluminium à haute teneur en silicium  &gt; 12%</t>
  </si>
  <si>
    <t>Vitesse de coupe Vc en m/min</t>
  </si>
  <si>
    <t>Percage</t>
  </si>
  <si>
    <t>Taraudage</t>
  </si>
  <si>
    <t>Surfacage</t>
  </si>
  <si>
    <t>Contournage</t>
  </si>
  <si>
    <t>Alesage</t>
  </si>
  <si>
    <t>Chanfreinage</t>
  </si>
  <si>
    <t>Opérations</t>
  </si>
  <si>
    <t>Matiere</t>
  </si>
  <si>
    <t>01</t>
  </si>
  <si>
    <t>N</t>
  </si>
  <si>
    <t>S</t>
  </si>
  <si>
    <t>H</t>
  </si>
  <si>
    <t>S235</t>
  </si>
  <si>
    <t>S355</t>
  </si>
  <si>
    <t>P01</t>
  </si>
  <si>
    <t>P10</t>
  </si>
  <si>
    <t>Matieres</t>
  </si>
  <si>
    <t>Operations</t>
  </si>
  <si>
    <t>Designation</t>
  </si>
  <si>
    <t>Vc</t>
  </si>
  <si>
    <t>Nuance Iso</t>
  </si>
  <si>
    <t>Classe</t>
  </si>
  <si>
    <t>Type Outil</t>
  </si>
  <si>
    <t>TypeOutil</t>
  </si>
  <si>
    <t xml:space="preserve"> </t>
  </si>
  <si>
    <t>Acier Rapide Revetu</t>
  </si>
  <si>
    <t>Fz</t>
  </si>
  <si>
    <t>Z</t>
  </si>
  <si>
    <t>Vf</t>
  </si>
  <si>
    <t>Epaisseur</t>
  </si>
  <si>
    <t>Temps</t>
  </si>
  <si>
    <t>Métrique</t>
  </si>
  <si>
    <t>Gaz</t>
  </si>
  <si>
    <t>1/8</t>
  </si>
  <si>
    <t>1/4</t>
  </si>
  <si>
    <t>3/8</t>
  </si>
  <si>
    <t>1/2</t>
  </si>
  <si>
    <t>3/4</t>
  </si>
  <si>
    <t>7/8</t>
  </si>
  <si>
    <t>1</t>
  </si>
  <si>
    <t>1 1/4</t>
  </si>
  <si>
    <t>1 1/2</t>
  </si>
  <si>
    <t>1 3/4</t>
  </si>
  <si>
    <t>2</t>
  </si>
  <si>
    <t>2 1/4</t>
  </si>
  <si>
    <t>2 1/2</t>
  </si>
  <si>
    <t>2 3/4</t>
  </si>
  <si>
    <t>3</t>
  </si>
  <si>
    <t>3 1/2</t>
  </si>
  <si>
    <t>4</t>
  </si>
  <si>
    <t>4 1/2</t>
  </si>
  <si>
    <t>5</t>
  </si>
  <si>
    <t>5 1/2</t>
  </si>
  <si>
    <t>6</t>
  </si>
  <si>
    <t>5/8</t>
  </si>
  <si>
    <t>Pas/avance</t>
  </si>
  <si>
    <t>Ø percage</t>
  </si>
  <si>
    <t>Ø</t>
  </si>
  <si>
    <t>vc</t>
  </si>
  <si>
    <t>Dents / z</t>
  </si>
  <si>
    <t>avance / fz</t>
  </si>
  <si>
    <t>profondeur passe</t>
  </si>
  <si>
    <t>Dents / Z</t>
  </si>
  <si>
    <t>-</t>
  </si>
  <si>
    <t>Vitesse de Coupe</t>
  </si>
  <si>
    <t>Avance</t>
  </si>
  <si>
    <t>Nbre de Dents</t>
  </si>
  <si>
    <t>Rotation Tr/min</t>
  </si>
  <si>
    <t>Nuance</t>
  </si>
  <si>
    <t>Colonne1</t>
  </si>
  <si>
    <t>Pas</t>
  </si>
  <si>
    <t>Ø Percage2</t>
  </si>
  <si>
    <t>Temps Usinage</t>
  </si>
  <si>
    <t>Temps Chgt Outil</t>
  </si>
  <si>
    <t>Temps Total</t>
  </si>
  <si>
    <t>Vitesse d'avance mm/min</t>
  </si>
  <si>
    <t>Temps
sec</t>
  </si>
  <si>
    <t>Unite</t>
  </si>
  <si>
    <t>Piece/Posage</t>
  </si>
  <si>
    <t>Posage</t>
  </si>
  <si>
    <t>Poids (Kg)</t>
  </si>
  <si>
    <t>Temps (Sec)</t>
  </si>
  <si>
    <t>Longueur</t>
  </si>
  <si>
    <t>Temps(Min,Dix)</t>
  </si>
  <si>
    <t>Cadence (p/h)</t>
  </si>
  <si>
    <t>Placer</t>
  </si>
  <si>
    <t>Mesurer</t>
  </si>
  <si>
    <t>Seq.
Suivante</t>
  </si>
  <si>
    <t>Tech
 (sec)</t>
  </si>
  <si>
    <t>Coef</t>
  </si>
  <si>
    <t>Séquences</t>
  </si>
  <si>
    <t>D</t>
  </si>
  <si>
    <t>B</t>
  </si>
  <si>
    <t>G</t>
  </si>
  <si>
    <t>T</t>
  </si>
  <si>
    <t>Q</t>
  </si>
  <si>
    <t>TMU</t>
  </si>
  <si>
    <t>Secondes</t>
  </si>
  <si>
    <t>Mettre pièce en butée</t>
  </si>
  <si>
    <t>Attente Délai technique</t>
  </si>
  <si>
    <t>Poser pièce dans/sur contenant</t>
  </si>
  <si>
    <t>Poser pièce sur marbre</t>
  </si>
  <si>
    <t>Temps de manutention</t>
  </si>
  <si>
    <t>Lg</t>
  </si>
  <si>
    <t>Poids</t>
  </si>
  <si>
    <t xml:space="preserve">Longueur mm </t>
  </si>
  <si>
    <t>Poids en kg</t>
  </si>
  <si>
    <t>Recherche de la plage</t>
  </si>
  <si>
    <t>Recherche colonne/ligne</t>
  </si>
  <si>
    <t>Grab</t>
  </si>
  <si>
    <t>Distance</t>
  </si>
  <si>
    <t>Usinage</t>
  </si>
  <si>
    <t>Nombre pièce/Posage</t>
  </si>
  <si>
    <t>Prendre pièce dans appros et poser sur posage</t>
  </si>
  <si>
    <t>Brider la pièce</t>
  </si>
  <si>
    <t>Prendre</t>
  </si>
  <si>
    <t>Fermer la porte</t>
  </si>
  <si>
    <t>Démarrer cycle</t>
  </si>
  <si>
    <t>Ouvrir la porte</t>
  </si>
  <si>
    <t>Débrider la piece</t>
  </si>
  <si>
    <t>Souffler copeaux et huile</t>
  </si>
  <si>
    <t>Ebavurer</t>
  </si>
  <si>
    <t>Nombre d'Ebav Copal-Fraise / pièce</t>
  </si>
  <si>
    <t>Temps Cycle</t>
  </si>
  <si>
    <t>Temps Pendulaire</t>
  </si>
  <si>
    <t>Char/Dechar</t>
  </si>
  <si>
    <t>/Ebav</t>
  </si>
  <si>
    <t>Profondeur
Longueur</t>
  </si>
  <si>
    <t>Nbre Passe
Qté</t>
  </si>
  <si>
    <t>Pièce/posage</t>
  </si>
  <si>
    <t>Nombre de brides</t>
  </si>
  <si>
    <t>Reference</t>
  </si>
  <si>
    <t>251094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</si>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</sst>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00"/>
    <numFmt numFmtId="165" formatCode="0.0"/>
    <numFmt numFmtId="166" formatCode="[$-F400]h:mm:ss\ AM/PM"/>
    <numFmt numFmtId="167" formatCode="\Ø#.00"/>
    <numFmt numFmtId="168" formatCode="#\ ##0.00"/>
  </numFmts>
  <fonts count="16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1"/>
      <color rgb="FF000000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2DDDC"/>
        <bgColor indexed="64"/>
      </patternFill>
    </fill>
    <fill>
      <patternFill patternType="solid">
        <fgColor rgb="FFC5BE97"/>
        <bgColor indexed="64"/>
      </patternFill>
    </fill>
    <fill>
      <patternFill patternType="solid">
        <fgColor rgb="FFD7E4BC"/>
        <bgColor indexed="64"/>
      </patternFill>
    </fill>
    <fill>
      <patternFill patternType="solid">
        <fgColor rgb="FF538ED5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EAF1DD"/>
        <bgColor indexed="64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9"/>
      </patternFill>
    </fill>
    <fill>
      <patternFill patternType="solid">
        <fgColor indexed="22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000000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</borders>
  <cellStyleXfs count="6">
    <xf numFmtId="0" fontId="0" fillId="0" borderId="0"/>
    <xf numFmtId="0" fontId="4" fillId="0" borderId="0" applyNumberFormat="0" applyFill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</cellStyleXfs>
  <cellXfs count="130">
    <xf numFmtId="0" fontId="0" fillId="0" borderId="0" xfId="0"/>
    <xf numFmtId="0" fontId="2" fillId="2" borderId="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5" borderId="7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8" borderId="10" xfId="0" applyFont="1" applyFill="1" applyBorder="1" applyAlignment="1">
      <alignment horizontal="center" vertical="center"/>
    </xf>
    <xf numFmtId="0" fontId="2" fillId="9" borderId="11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/>
    </xf>
    <xf numFmtId="0" fontId="2" fillId="11" borderId="6" xfId="0" applyFont="1" applyFill="1" applyBorder="1" applyAlignment="1">
      <alignment horizontal="center" vertical="center" wrapText="1"/>
    </xf>
    <xf numFmtId="0" fontId="2" fillId="12" borderId="6" xfId="0" applyFont="1" applyFill="1" applyBorder="1" applyAlignment="1">
      <alignment horizontal="center" vertical="center" wrapText="1"/>
    </xf>
    <xf numFmtId="0" fontId="1" fillId="0" borderId="0" xfId="0" applyFo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46" fontId="0" fillId="0" borderId="0" xfId="0" applyNumberFormat="1"/>
    <xf numFmtId="0" fontId="0" fillId="0" borderId="0" xfId="0"/>
    <xf numFmtId="1" fontId="9" fillId="14" borderId="21" xfId="3" applyNumberFormat="1" applyFont="1" applyBorder="1" applyProtection="1"/>
    <xf numFmtId="0" fontId="0" fillId="0" borderId="0" xfId="0"/>
    <xf numFmtId="165" fontId="8" fillId="15" borderId="0" xfId="4" applyNumberFormat="1" applyFont="1" applyAlignment="1" applyProtection="1"/>
    <xf numFmtId="0" fontId="7" fillId="0" borderId="0" xfId="0" applyFont="1" applyProtection="1"/>
    <xf numFmtId="0" fontId="9" fillId="13" borderId="0" xfId="2" applyFont="1" applyProtection="1"/>
    <xf numFmtId="0" fontId="10" fillId="0" borderId="0" xfId="0" applyFont="1" applyProtection="1"/>
    <xf numFmtId="0" fontId="8" fillId="16" borderId="0" xfId="5" applyFont="1" applyProtection="1"/>
    <xf numFmtId="0" fontId="10" fillId="0" borderId="0" xfId="0" applyFont="1"/>
    <xf numFmtId="0" fontId="10" fillId="0" borderId="0" xfId="0" applyFont="1" applyAlignment="1" applyProtection="1">
      <alignment horizontal="left"/>
    </xf>
    <xf numFmtId="0" fontId="9" fillId="13" borderId="0" xfId="2" applyFont="1" applyAlignment="1" applyProtection="1">
      <alignment wrapText="1"/>
    </xf>
    <xf numFmtId="0" fontId="9" fillId="14" borderId="21" xfId="3" applyFont="1" applyBorder="1" applyProtection="1"/>
    <xf numFmtId="0" fontId="9" fillId="14" borderId="18" xfId="3" applyFont="1" applyBorder="1" applyProtection="1"/>
    <xf numFmtId="2" fontId="8" fillId="15" borderId="0" xfId="4" applyNumberFormat="1" applyFont="1" applyAlignment="1" applyProtection="1"/>
    <xf numFmtId="2" fontId="12" fillId="17" borderId="0" xfId="0" applyNumberFormat="1" applyFont="1" applyFill="1" applyBorder="1" applyAlignment="1">
      <alignment horizontal="center"/>
    </xf>
    <xf numFmtId="0" fontId="13" fillId="18" borderId="27" xfId="0" applyFont="1" applyFill="1" applyBorder="1" applyAlignment="1">
      <alignment horizontal="right"/>
    </xf>
    <xf numFmtId="0" fontId="12" fillId="19" borderId="28" xfId="0" applyFont="1" applyFill="1" applyBorder="1" applyAlignment="1">
      <alignment horizontal="left"/>
    </xf>
    <xf numFmtId="2" fontId="12" fillId="19" borderId="25" xfId="0" applyNumberFormat="1" applyFont="1" applyFill="1" applyBorder="1" applyAlignment="1">
      <alignment horizontal="center"/>
    </xf>
    <xf numFmtId="0" fontId="12" fillId="17" borderId="24" xfId="0" applyFont="1" applyFill="1" applyBorder="1" applyAlignment="1">
      <alignment horizontal="center" vertical="center"/>
    </xf>
    <xf numFmtId="0" fontId="12" fillId="17" borderId="21" xfId="0" applyFont="1" applyFill="1" applyBorder="1" applyAlignment="1">
      <alignment horizontal="center" vertical="center"/>
    </xf>
    <xf numFmtId="165" fontId="12" fillId="19" borderId="25" xfId="0" applyNumberFormat="1" applyFont="1" applyFill="1" applyBorder="1" applyAlignment="1">
      <alignment horizontal="center"/>
    </xf>
    <xf numFmtId="0" fontId="12" fillId="19" borderId="25" xfId="0" applyNumberFormat="1" applyFont="1" applyFill="1" applyBorder="1" applyAlignment="1">
      <alignment horizontal="center"/>
    </xf>
    <xf numFmtId="2" fontId="12" fillId="17" borderId="20" xfId="0" applyNumberFormat="1" applyFont="1" applyFill="1" applyBorder="1" applyAlignment="1">
      <alignment horizontal="center"/>
    </xf>
    <xf numFmtId="2" fontId="12" fillId="17" borderId="22" xfId="0" applyNumberFormat="1" applyFont="1" applyFill="1" applyBorder="1" applyAlignment="1">
      <alignment horizontal="center"/>
    </xf>
    <xf numFmtId="2" fontId="12" fillId="17" borderId="21" xfId="0" applyNumberFormat="1" applyFont="1" applyFill="1" applyBorder="1" applyAlignment="1">
      <alignment horizontal="center"/>
    </xf>
    <xf numFmtId="2" fontId="12" fillId="17" borderId="24" xfId="0" applyNumberFormat="1" applyFont="1" applyFill="1" applyBorder="1" applyAlignment="1">
      <alignment horizontal="center"/>
    </xf>
    <xf numFmtId="2" fontId="12" fillId="19" borderId="26" xfId="0" applyNumberFormat="1" applyFont="1" applyFill="1" applyBorder="1" applyAlignment="1">
      <alignment horizontal="center"/>
    </xf>
    <xf numFmtId="0" fontId="8" fillId="13" borderId="29" xfId="2" applyFont="1" applyBorder="1" applyProtection="1"/>
    <xf numFmtId="2" fontId="9" fillId="14" borderId="21" xfId="3" applyNumberFormat="1" applyFont="1" applyBorder="1" applyProtection="1"/>
    <xf numFmtId="0" fontId="7" fillId="0" borderId="30" xfId="0" applyFont="1" applyBorder="1" applyProtection="1"/>
    <xf numFmtId="0" fontId="11" fillId="13" borderId="32" xfId="2" applyFont="1" applyBorder="1" applyAlignment="1" applyProtection="1">
      <alignment vertical="center" wrapText="1"/>
    </xf>
    <xf numFmtId="0" fontId="11" fillId="13" borderId="32" xfId="2" applyFont="1" applyBorder="1" applyAlignment="1" applyProtection="1">
      <alignment vertical="center"/>
    </xf>
    <xf numFmtId="0" fontId="8" fillId="13" borderId="15" xfId="2" applyFont="1" applyBorder="1" applyProtection="1"/>
    <xf numFmtId="0" fontId="8" fillId="13" borderId="16" xfId="2" applyFont="1" applyBorder="1" applyProtection="1"/>
    <xf numFmtId="2" fontId="9" fillId="14" borderId="35" xfId="3" applyNumberFormat="1" applyFont="1" applyBorder="1" applyProtection="1"/>
    <xf numFmtId="2" fontId="9" fillId="14" borderId="18" xfId="3" applyNumberFormat="1" applyFont="1" applyBorder="1" applyProtection="1"/>
    <xf numFmtId="2" fontId="9" fillId="14" borderId="19" xfId="3" applyNumberFormat="1" applyFont="1" applyBorder="1" applyProtection="1"/>
    <xf numFmtId="0" fontId="11" fillId="13" borderId="36" xfId="2" applyFont="1" applyBorder="1" applyProtection="1"/>
    <xf numFmtId="0" fontId="8" fillId="13" borderId="37" xfId="2" applyFont="1" applyBorder="1" applyProtection="1"/>
    <xf numFmtId="0" fontId="8" fillId="13" borderId="14" xfId="2" applyFont="1" applyBorder="1" applyProtection="1"/>
    <xf numFmtId="0" fontId="9" fillId="14" borderId="34" xfId="3" applyFont="1" applyBorder="1" applyProtection="1"/>
    <xf numFmtId="0" fontId="9" fillId="14" borderId="17" xfId="3" applyFont="1" applyBorder="1" applyProtection="1"/>
    <xf numFmtId="0" fontId="9" fillId="13" borderId="0" xfId="2" applyFont="1" applyAlignment="1" applyProtection="1"/>
    <xf numFmtId="0" fontId="9" fillId="13" borderId="15" xfId="2" applyFont="1" applyBorder="1"/>
    <xf numFmtId="0" fontId="9" fillId="13" borderId="18" xfId="2" applyFont="1" applyBorder="1"/>
    <xf numFmtId="0" fontId="14" fillId="0" borderId="0" xfId="1" applyFont="1" applyAlignment="1">
      <alignment horizontal="right"/>
    </xf>
    <xf numFmtId="0" fontId="14" fillId="0" borderId="26" xfId="1" applyFont="1" applyBorder="1" applyAlignment="1" applyProtection="1">
      <alignment horizontal="right"/>
      <protection locked="0"/>
    </xf>
    <xf numFmtId="0" fontId="0" fillId="0" borderId="0" xfId="0" applyProtection="1">
      <protection locked="0"/>
    </xf>
    <xf numFmtId="0" fontId="14" fillId="0" borderId="42" xfId="1" applyFont="1" applyBorder="1" applyAlignment="1" applyProtection="1">
      <alignment horizontal="right"/>
      <protection locked="0"/>
    </xf>
    <xf numFmtId="164" fontId="0" fillId="0" borderId="0" xfId="0" applyNumberFormat="1" applyProtection="1">
      <protection locked="0"/>
    </xf>
    <xf numFmtId="20" fontId="0" fillId="0" borderId="0" xfId="0" applyNumberFormat="1" applyProtection="1">
      <protection locked="0"/>
    </xf>
    <xf numFmtId="0" fontId="0" fillId="0" borderId="0" xfId="0" applyNumberFormat="1" applyProtection="1">
      <protection locked="0"/>
    </xf>
    <xf numFmtId="166" fontId="0" fillId="0" borderId="0" xfId="0" applyNumberFormat="1" applyProtection="1">
      <protection locked="0"/>
    </xf>
    <xf numFmtId="0" fontId="9" fillId="13" borderId="0" xfId="2" applyFont="1" applyAlignment="1" applyProtection="1">
      <alignment horizontal="right"/>
    </xf>
    <xf numFmtId="46" fontId="8" fillId="15" borderId="0" xfId="4" applyNumberFormat="1" applyFont="1" applyAlignment="1" applyProtection="1"/>
    <xf numFmtId="49" fontId="14" fillId="0" borderId="26" xfId="1" applyNumberFormat="1" applyFont="1" applyBorder="1" applyAlignment="1" applyProtection="1">
      <alignment horizontal="right"/>
      <protection locked="0"/>
    </xf>
    <xf numFmtId="0" fontId="8" fillId="13" borderId="0" xfId="2" applyFont="1" applyAlignment="1">
      <alignment horizontal="left"/>
    </xf>
    <xf numFmtId="0" fontId="11" fillId="13" borderId="31" xfId="2" applyFont="1" applyBorder="1" applyAlignment="1" applyProtection="1">
      <alignment horizontal="center" vertical="center"/>
    </xf>
    <xf numFmtId="0" fontId="11" fillId="13" borderId="32" xfId="2" applyFont="1" applyBorder="1" applyAlignment="1" applyProtection="1">
      <alignment horizontal="center" vertical="center"/>
    </xf>
    <xf numFmtId="0" fontId="14" fillId="0" borderId="36" xfId="1" applyFont="1" applyBorder="1" applyAlignment="1" applyProtection="1">
      <alignment horizontal="left"/>
      <protection locked="0"/>
    </xf>
    <xf numFmtId="0" fontId="14" fillId="0" borderId="38" xfId="1" applyFont="1" applyBorder="1" applyAlignment="1" applyProtection="1">
      <alignment horizontal="left"/>
      <protection locked="0"/>
    </xf>
    <xf numFmtId="0" fontId="14" fillId="0" borderId="39" xfId="1" applyFont="1" applyBorder="1" applyAlignment="1" applyProtection="1">
      <alignment horizontal="left"/>
      <protection locked="0"/>
    </xf>
    <xf numFmtId="0" fontId="14" fillId="0" borderId="37" xfId="1" applyFont="1" applyBorder="1" applyAlignment="1" applyProtection="1">
      <alignment horizontal="left"/>
      <protection locked="0"/>
    </xf>
    <xf numFmtId="0" fontId="14" fillId="0" borderId="40" xfId="1" applyFont="1" applyBorder="1" applyAlignment="1" applyProtection="1">
      <alignment horizontal="left"/>
      <protection locked="0"/>
    </xf>
    <xf numFmtId="0" fontId="14" fillId="0" borderId="41" xfId="1" applyFont="1" applyBorder="1" applyAlignment="1" applyProtection="1">
      <alignment horizontal="left"/>
      <protection locked="0"/>
    </xf>
    <xf numFmtId="0" fontId="9" fillId="14" borderId="21" xfId="3" applyFont="1" applyBorder="1" applyAlignment="1" applyProtection="1">
      <alignment horizontal="center"/>
    </xf>
    <xf numFmtId="0" fontId="9" fillId="14" borderId="18" xfId="3" applyFont="1" applyBorder="1" applyAlignment="1" applyProtection="1">
      <alignment horizontal="center"/>
    </xf>
    <xf numFmtId="0" fontId="10" fillId="0" borderId="0" xfId="0" applyFont="1" applyAlignment="1">
      <alignment horizontal="center"/>
    </xf>
    <xf numFmtId="49" fontId="14" fillId="0" borderId="1" xfId="1" applyNumberFormat="1" applyFont="1" applyBorder="1" applyAlignment="1" applyProtection="1">
      <alignment horizontal="center"/>
      <protection locked="0"/>
    </xf>
    <xf numFmtId="49" fontId="14" fillId="0" borderId="10" xfId="1" applyNumberFormat="1" applyFont="1" applyBorder="1" applyAlignment="1" applyProtection="1">
      <alignment horizontal="center"/>
      <protection locked="0"/>
    </xf>
    <xf numFmtId="0" fontId="11" fillId="13" borderId="33" xfId="2" applyFont="1" applyBorder="1" applyAlignment="1" applyProtection="1">
      <alignment horizontal="center" vertical="center"/>
    </xf>
    <xf numFmtId="0" fontId="8" fillId="13" borderId="15" xfId="2" applyFont="1" applyBorder="1" applyAlignment="1" applyProtection="1">
      <alignment horizontal="center"/>
    </xf>
    <xf numFmtId="0" fontId="9" fillId="13" borderId="0" xfId="2" applyFont="1" applyAlignment="1" applyProtection="1">
      <alignment horizontal="center"/>
    </xf>
    <xf numFmtId="0" fontId="9" fillId="13" borderId="16" xfId="2" applyFont="1" applyBorder="1" applyAlignment="1">
      <alignment horizontal="center" vertical="top" wrapText="1"/>
    </xf>
    <xf numFmtId="0" fontId="9" fillId="13" borderId="19" xfId="2" applyFont="1" applyBorder="1" applyAlignment="1">
      <alignment horizontal="center" vertical="top"/>
    </xf>
    <xf numFmtId="0" fontId="9" fillId="13" borderId="14" xfId="2" applyFont="1" applyBorder="1" applyAlignment="1">
      <alignment horizontal="center" vertical="top"/>
    </xf>
    <xf numFmtId="0" fontId="9" fillId="13" borderId="17" xfId="2" applyFont="1" applyBorder="1" applyAlignment="1">
      <alignment horizontal="center" vertical="top"/>
    </xf>
    <xf numFmtId="0" fontId="9" fillId="13" borderId="15" xfId="2" applyFont="1" applyBorder="1" applyAlignment="1">
      <alignment horizontal="center" vertical="top"/>
    </xf>
    <xf numFmtId="0" fontId="9" fillId="13" borderId="18" xfId="2" applyFont="1" applyBorder="1" applyAlignment="1">
      <alignment horizontal="center" vertical="top"/>
    </xf>
    <xf numFmtId="0" fontId="9" fillId="13" borderId="15" xfId="2" applyFont="1" applyBorder="1" applyAlignment="1">
      <alignment horizontal="center" vertical="top" wrapText="1"/>
    </xf>
    <xf numFmtId="0" fontId="2" fillId="2" borderId="12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2" fillId="6" borderId="13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8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5" borderId="13" xfId="0" applyFont="1" applyFill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0" fontId="8" fillId="13" borderId="11" xfId="2" applyFont="1" applyBorder="1" applyAlignment="1">
      <alignment horizontal="center"/>
    </xf>
    <xf numFmtId="0" fontId="13" fillId="18" borderId="14" xfId="0" applyFont="1" applyFill="1" applyBorder="1" applyAlignment="1">
      <alignment horizontal="center" vertical="center"/>
    </xf>
    <xf numFmtId="0" fontId="13" fillId="18" borderId="23" xfId="0" applyFont="1" applyFill="1" applyBorder="1" applyAlignment="1">
      <alignment horizontal="center" vertical="center"/>
    </xf>
    <xf numFmtId="0" fontId="13" fillId="18" borderId="15" xfId="0" applyFont="1" applyFill="1" applyBorder="1" applyAlignment="1">
      <alignment horizontal="center" vertical="center"/>
    </xf>
    <xf numFmtId="0" fontId="13" fillId="18" borderId="18" xfId="0" applyFont="1" applyFill="1" applyBorder="1" applyAlignment="1">
      <alignment horizontal="center" vertical="center"/>
    </xf>
    <xf numFmtId="0" fontId="13" fillId="18" borderId="16" xfId="0" applyFont="1" applyFill="1" applyBorder="1" applyAlignment="1">
      <alignment horizontal="center" vertical="center"/>
    </xf>
    <xf numFmtId="0" fontId="13" fillId="18" borderId="19" xfId="0" applyFont="1" applyFill="1" applyBorder="1" applyAlignment="1">
      <alignment horizontal="center" vertical="center"/>
    </xf>
    <xf numFmtId="167" fontId="0" fillId="0" borderId="0" xfId="0" applyNumberFormat="1"/>
    <xf numFmtId="168" fontId="0" fillId="0" borderId="0" xfId="0" applyNumberFormat="1"/>
  </cellXfs>
  <cellStyles count="6">
    <cellStyle name="60 % - Accent1" xfId="3" builtinId="32"/>
    <cellStyle name="Accent1" xfId="2" builtinId="29"/>
    <cellStyle name="Accent3" xfId="4" builtinId="37"/>
    <cellStyle name="Accent6" xfId="5" builtinId="49"/>
    <cellStyle name="Normal" xfId="0" builtinId="0"/>
    <cellStyle name="Titre 4" xfId="1" builtinId="19"/>
  </cellStyles>
  <dxfs count="4">
    <dxf>
      <numFmt numFmtId="0" formatCode="General"/>
    </dxf>
    <dxf>
      <numFmt numFmtId="0" formatCode="General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17</xdr:row>
          <xdr:rowOff>47625</xdr:rowOff>
        </xdr:from>
        <xdr:to>
          <xdr:col>1</xdr:col>
          <xdr:colOff>1514475</xdr:colOff>
          <xdr:row>18</xdr:row>
          <xdr:rowOff>238125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657225</xdr:colOff>
          <xdr:row>5</xdr:row>
          <xdr:rowOff>104775</xdr:rowOff>
        </xdr:from>
        <xdr:to>
          <xdr:col>3</xdr:col>
          <xdr:colOff>9525</xdr:colOff>
          <xdr:row>7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5</xdr:row>
          <xdr:rowOff>95250</xdr:rowOff>
        </xdr:from>
        <xdr:to>
          <xdr:col>4</xdr:col>
          <xdr:colOff>314325</xdr:colOff>
          <xdr:row>7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2:A9" totalsRowShown="0">
  <autoFilter ref="A2:A9"/>
  <tableColumns count="1">
    <tableColumn id="1" name="Opérations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Tableau3" displayName="Tableau3" ref="C2:D4" totalsRowShown="0">
  <autoFilter ref="C2:D4"/>
  <tableColumns count="2">
    <tableColumn id="1" name="Matieres"/>
    <tableColumn id="2" name="Nuance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Tableau4" displayName="Tableau4" ref="F2:F5" totalsRowShown="0">
  <autoFilter ref="F2:F5"/>
  <tableColumns count="1">
    <tableColumn id="1" name="Type Outil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5" name="Tableau5" displayName="Tableau5" ref="N2:P31" totalsRowShown="0">
  <autoFilter ref="N2:P31"/>
  <tableColumns count="3">
    <tableColumn id="1" name="Nuance Iso"/>
    <tableColumn id="2" name="Classe" dataDxfId="3"/>
    <tableColumn id="3" name="Nuance">
      <calculatedColumnFormula>CONCATENATE($N$28,O3)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8" name="Tableau8" displayName="Tableau8" ref="R2:T6" totalsRowShown="0">
  <autoFilter ref="R2:T6"/>
  <tableColumns count="3">
    <tableColumn id="1" name="Acier Rapide"/>
    <tableColumn id="2" name="Acier Rapide Revêtu"/>
    <tableColumn id="3" name="Carbure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id="9" name="Tableau9" displayName="Tableau9" ref="AA2:AG32" totalsRowShown="0">
  <autoFilter ref="AA2:AG32"/>
  <tableColumns count="7">
    <tableColumn id="1" name="Métrique"/>
    <tableColumn id="2" name="Pas/avance"/>
    <tableColumn id="3" name="Ø percage">
      <calculatedColumnFormula>AA3-AB3</calculatedColumnFormula>
    </tableColumn>
    <tableColumn id="4" name="Vc"/>
    <tableColumn id="5" name="Gaz" dataDxfId="2"/>
    <tableColumn id="6" name="Pas"/>
    <tableColumn id="7" name="Ø Percage2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id="10" name="Tableau10" displayName="Tableau10" ref="AI2:AM6" totalsRowShown="0">
  <autoFilter ref="AI2:AM6"/>
  <tableColumns count="5">
    <tableColumn id="1" name="Ø"/>
    <tableColumn id="2" name="Dents / z"/>
    <tableColumn id="3" name="avance / fz" dataDxfId="1">
      <calculatedColumnFormula>0.2</calculatedColumnFormula>
    </tableColumn>
    <tableColumn id="4" name="vc"/>
    <tableColumn id="5" name="profondeur passe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11" name="Tableau11" displayName="Tableau11" ref="AO2:AS4" totalsRowShown="0">
  <autoFilter ref="AO2:AS4"/>
  <tableColumns count="5">
    <tableColumn id="1" name="Ø"/>
    <tableColumn id="2" name="Dents / Z"/>
    <tableColumn id="3" name="avance / fz" dataDxfId="0">
      <calculatedColumnFormula>0.3</calculatedColumnFormula>
    </tableColumn>
    <tableColumn id="4" name="vc"/>
    <tableColumn id="5" name="profondeur passe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id="12" name="Tableau12" displayName="Tableau12" ref="AU2:AX3" totalsRowShown="0">
  <autoFilter ref="AU2:AX3"/>
  <tableColumns count="4">
    <tableColumn id="1" name="Colonne1"/>
    <tableColumn id="2" name="Dents / Z"/>
    <tableColumn id="3" name="avance / fz">
      <calculatedColumnFormula>0.1</calculatedColumnFormula>
    </tableColumn>
    <tableColumn id="4" name="vc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id="13" name="Tableau13" displayName="Tableau13" ref="AZ2:BC3" totalsRowShown="0">
  <autoFilter ref="AZ2:BC3"/>
  <tableColumns count="4">
    <tableColumn id="1" name="Ø"/>
    <tableColumn id="2" name="Dents / Z"/>
    <tableColumn id="3" name="avance / fz">
      <calculatedColumnFormula>0.2</calculatedColumnFormula>
    </tableColumn>
    <tableColumn id="4" name="vc"/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id="2" name="Tableau2" displayName="Tableau2" ref="V2:Y5" totalsRowShown="0">
  <autoFilter ref="V2:Y5"/>
  <tableColumns count="4">
    <tableColumn id="1" name="Ø"/>
    <tableColumn id="2" name="Dents / z"/>
    <tableColumn id="3" name="avance / fz"/>
    <tableColumn id="4" name="vc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B1:Z32"/>
  <sheetViews>
    <sheetView tabSelected="1" zoomScale="110" zoomScaleNormal="110" workbookViewId="0">
      <selection activeCell="C9" sqref="C9"/>
    </sheetView>
  </sheetViews>
  <sheetFormatPr baseColWidth="10" defaultRowHeight="15" x14ac:dyDescent="0.25"/>
  <cols>
    <col min="2" max="2" width="53.42578125" customWidth="1"/>
    <col min="3" max="8" width="4.85546875" customWidth="1"/>
    <col min="9" max="9" width="3" customWidth="1"/>
    <col min="10" max="10" width="7" customWidth="1"/>
    <col min="12" max="12" width="7.85546875" customWidth="1"/>
    <col min="13" max="13" width="6.42578125" customWidth="1"/>
    <col min="14" max="14" width="12" bestFit="1" customWidth="1"/>
  </cols>
  <sheetData>
    <row r="1" spans="2:26" ht="21" x14ac:dyDescent="0.35">
      <c r="B1" s="90" t="str">
        <f>'Calcul Temps Technique'!D3</f>
        <v>251094</v>
      </c>
      <c r="C1" s="94" t="s">
        <v>102</v>
      </c>
      <c r="D1" s="94"/>
      <c r="E1" s="94"/>
      <c r="F1" s="94"/>
      <c r="G1" s="81">
        <v>3.5</v>
      </c>
      <c r="H1" s="82"/>
      <c r="I1" s="82"/>
      <c r="J1" s="83"/>
      <c r="K1" s="28"/>
      <c r="L1" s="89" t="s">
        <v>145</v>
      </c>
      <c r="M1" s="89"/>
      <c r="N1" s="89"/>
      <c r="O1" s="89"/>
      <c r="P1" s="24"/>
      <c r="Q1" s="24"/>
      <c r="R1" s="24"/>
      <c r="S1" s="24"/>
      <c r="T1" s="24"/>
      <c r="U1" s="24"/>
      <c r="V1" s="24"/>
      <c r="W1" s="24"/>
      <c r="X1" s="24"/>
      <c r="Y1" s="24"/>
      <c r="Z1" s="24" t="b">
        <v>0</v>
      </c>
    </row>
    <row r="2" spans="2:26" ht="21.75" thickBot="1" x14ac:dyDescent="0.4">
      <c r="B2" s="91"/>
      <c r="C2" s="94" t="s">
        <v>104</v>
      </c>
      <c r="D2" s="94"/>
      <c r="E2" s="94"/>
      <c r="F2" s="94"/>
      <c r="G2" s="84">
        <v>300</v>
      </c>
      <c r="H2" s="85"/>
      <c r="I2" s="85"/>
      <c r="J2" s="86"/>
      <c r="K2" s="28"/>
      <c r="L2" s="64" t="s">
        <v>103</v>
      </c>
      <c r="M2" s="64"/>
      <c r="N2" s="64"/>
      <c r="O2" s="25">
        <f>SUM(O21:O32)</f>
        <v>433.74874952373699</v>
      </c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2:26" ht="18.75" x14ac:dyDescent="0.3">
      <c r="B3" s="29" t="s">
        <v>133</v>
      </c>
      <c r="C3" s="30"/>
      <c r="D3" s="30"/>
      <c r="E3" s="30"/>
      <c r="F3" s="30"/>
      <c r="G3" s="30"/>
      <c r="H3" s="30"/>
      <c r="I3" s="30"/>
      <c r="J3" s="30"/>
      <c r="K3" s="28"/>
      <c r="L3" s="64" t="s">
        <v>105</v>
      </c>
      <c r="M3" s="64"/>
      <c r="N3" s="64"/>
      <c r="O3" s="35">
        <f>CONVERT(O2,"sec","mn")</f>
        <v>7.2291458253956167</v>
      </c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2:26" ht="18.75" x14ac:dyDescent="0.3">
      <c r="B4" s="26"/>
      <c r="C4" s="28"/>
      <c r="D4" s="28"/>
      <c r="E4" s="28"/>
      <c r="F4" s="28"/>
      <c r="G4" s="28"/>
      <c r="H4" s="28"/>
      <c r="I4" s="28"/>
      <c r="J4" s="28"/>
      <c r="K4" s="28"/>
      <c r="L4" s="64" t="s">
        <v>106</v>
      </c>
      <c r="M4" s="64"/>
      <c r="N4" s="64"/>
      <c r="O4" s="35">
        <f>IF(OR(ISBLANK(O2),O2=0),0,ROUNDDOWN(3600/O2,0))</f>
        <v>8</v>
      </c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2:26" ht="18.75" x14ac:dyDescent="0.3">
      <c r="B5" s="27" t="s">
        <v>51</v>
      </c>
      <c r="C5" s="78">
        <f>'Calcul Temps Technique'!D4</f>
        <v>12</v>
      </c>
      <c r="D5" s="78"/>
      <c r="E5" s="78"/>
      <c r="F5" s="78"/>
      <c r="G5" s="78"/>
      <c r="H5" s="28"/>
      <c r="I5" s="28"/>
      <c r="J5" s="28"/>
      <c r="K5" s="28"/>
      <c r="L5" s="89" t="s">
        <v>146</v>
      </c>
      <c r="M5" s="89"/>
      <c r="N5" s="89"/>
      <c r="O5" s="89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2:26" ht="19.5" thickBot="1" x14ac:dyDescent="0.35">
      <c r="B6" s="27" t="s">
        <v>134</v>
      </c>
      <c r="C6" s="78">
        <f>'Calcul Temps Technique'!D5</f>
        <v>4</v>
      </c>
      <c r="D6" s="78"/>
      <c r="E6" s="78"/>
      <c r="F6" s="78"/>
      <c r="G6" s="78"/>
      <c r="H6" s="31"/>
      <c r="I6" s="28"/>
      <c r="J6" s="28"/>
      <c r="K6" s="28"/>
      <c r="L6" s="64" t="s">
        <v>103</v>
      </c>
      <c r="M6" s="64"/>
      <c r="N6" s="64"/>
      <c r="O6" s="25">
        <f>O26</f>
        <v>234.66874952373695</v>
      </c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2:26" ht="21" x14ac:dyDescent="0.35">
      <c r="B7" s="32" t="s">
        <v>152</v>
      </c>
      <c r="C7" s="81">
        <v>4</v>
      </c>
      <c r="D7" s="82"/>
      <c r="E7" s="82"/>
      <c r="F7" s="82"/>
      <c r="G7" s="83"/>
      <c r="H7" s="31"/>
      <c r="I7" s="28"/>
      <c r="J7" s="28"/>
      <c r="K7" s="28"/>
      <c r="L7" s="64" t="s">
        <v>147</v>
      </c>
      <c r="M7" s="64"/>
      <c r="N7" s="64" t="s">
        <v>148</v>
      </c>
      <c r="O7" s="35">
        <f>O2-O6</f>
        <v>199.08000000000004</v>
      </c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2:26" ht="21.75" thickBot="1" x14ac:dyDescent="0.4">
      <c r="B8" s="27" t="s">
        <v>144</v>
      </c>
      <c r="C8" s="84">
        <v>2</v>
      </c>
      <c r="D8" s="85"/>
      <c r="E8" s="85"/>
      <c r="F8" s="85"/>
      <c r="G8" s="86"/>
      <c r="H8" s="31"/>
      <c r="I8" s="31"/>
      <c r="J8" s="28"/>
      <c r="K8" s="28"/>
      <c r="L8" s="64" t="s">
        <v>105</v>
      </c>
      <c r="M8" s="64"/>
      <c r="N8" s="64"/>
      <c r="O8" s="35">
        <f>CONVERT(O6,"sec","mn")</f>
        <v>3.9111458253956157</v>
      </c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2:26" ht="21" x14ac:dyDescent="0.35">
      <c r="B9" s="28"/>
      <c r="C9" s="67"/>
      <c r="D9" s="67"/>
      <c r="E9" s="67"/>
      <c r="F9" s="67"/>
      <c r="G9" s="67"/>
      <c r="H9" s="31"/>
      <c r="I9" s="31"/>
      <c r="J9" s="28"/>
      <c r="K9" s="28"/>
      <c r="L9" s="64" t="s">
        <v>106</v>
      </c>
      <c r="M9" s="64"/>
      <c r="N9" s="64"/>
      <c r="O9" s="35">
        <f>IF(OR(ISBLANK(O6),O6=0),0,ROUNDDOWN(3600/O6,0))</f>
        <v>15</v>
      </c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2:26" ht="18.75" hidden="1" x14ac:dyDescent="0.3">
      <c r="B10" s="28"/>
      <c r="C10" s="31"/>
      <c r="D10" s="31"/>
      <c r="E10" s="31"/>
      <c r="F10" s="31"/>
      <c r="G10" s="31"/>
      <c r="H10" s="31"/>
      <c r="I10" s="31"/>
      <c r="J10" s="28"/>
      <c r="K10" s="28"/>
      <c r="L10" s="28"/>
      <c r="M10" s="28"/>
      <c r="N10" s="28"/>
      <c r="O10" s="28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2:26" ht="18.75" hidden="1" x14ac:dyDescent="0.3">
      <c r="B11" s="28"/>
      <c r="C11" s="31"/>
      <c r="D11" s="31"/>
      <c r="E11" s="31"/>
      <c r="F11" s="31"/>
      <c r="G11" s="31"/>
      <c r="H11" s="31"/>
      <c r="I11" s="31"/>
      <c r="J11" s="28"/>
      <c r="K11" s="28"/>
      <c r="L11" s="28"/>
      <c r="M11" s="28"/>
      <c r="N11" s="28"/>
      <c r="O11" s="28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2:26" ht="18.75" hidden="1" x14ac:dyDescent="0.3">
      <c r="B12" s="28"/>
      <c r="C12" s="31"/>
      <c r="D12" s="31"/>
      <c r="E12" s="31"/>
      <c r="F12" s="31"/>
      <c r="G12" s="31"/>
      <c r="H12" s="31"/>
      <c r="I12" s="31"/>
      <c r="J12" s="28"/>
      <c r="K12" s="28"/>
      <c r="L12" s="28"/>
      <c r="M12" s="28"/>
      <c r="N12" s="28"/>
      <c r="O12" s="28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2:26" ht="18.75" hidden="1" x14ac:dyDescent="0.3">
      <c r="B13" s="28"/>
      <c r="C13" s="31"/>
      <c r="D13" s="31"/>
      <c r="E13" s="31"/>
      <c r="F13" s="31"/>
      <c r="G13" s="31"/>
      <c r="H13" s="31"/>
      <c r="I13" s="31"/>
      <c r="J13" s="28"/>
      <c r="K13" s="28"/>
      <c r="L13" s="28"/>
      <c r="M13" s="28"/>
      <c r="N13" s="28"/>
      <c r="O13" s="28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2:26" ht="18.75" hidden="1" x14ac:dyDescent="0.3">
      <c r="B14" s="28"/>
      <c r="C14" s="31"/>
      <c r="D14" s="31"/>
      <c r="E14" s="31"/>
      <c r="F14" s="31"/>
      <c r="G14" s="31"/>
      <c r="H14" s="31"/>
      <c r="I14" s="31"/>
      <c r="J14" s="28"/>
      <c r="K14" s="28"/>
      <c r="L14" s="28"/>
      <c r="M14" s="28"/>
      <c r="N14" s="28"/>
      <c r="O14" s="28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2:26" ht="18.75" hidden="1" x14ac:dyDescent="0.3">
      <c r="B15" s="28"/>
      <c r="C15" s="31"/>
      <c r="D15" s="31"/>
      <c r="E15" s="31"/>
      <c r="F15" s="31"/>
      <c r="G15" s="31"/>
      <c r="H15" s="31"/>
      <c r="I15" s="31"/>
      <c r="J15" s="28"/>
      <c r="K15" s="28"/>
      <c r="L15" s="28"/>
      <c r="M15" s="28"/>
      <c r="N15" s="28"/>
      <c r="O15" s="28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2:26" ht="18.75" hidden="1" x14ac:dyDescent="0.3"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2:26" ht="18.75" hidden="1" x14ac:dyDescent="0.3"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</row>
    <row r="18" spans="2:26" ht="19.5" thickBot="1" x14ac:dyDescent="0.35"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2"/>
      <c r="Q18" s="22"/>
      <c r="R18" s="22"/>
      <c r="W18" s="22"/>
      <c r="X18" s="22"/>
      <c r="Y18" s="22"/>
      <c r="Z18" s="22"/>
    </row>
    <row r="19" spans="2:26" ht="38.25" thickBot="1" x14ac:dyDescent="0.35">
      <c r="B19" s="51"/>
      <c r="C19" s="79" t="s">
        <v>137</v>
      </c>
      <c r="D19" s="80"/>
      <c r="E19" s="80"/>
      <c r="F19" s="80" t="s">
        <v>107</v>
      </c>
      <c r="G19" s="80"/>
      <c r="H19" s="80"/>
      <c r="I19" s="80" t="s">
        <v>108</v>
      </c>
      <c r="J19" s="80"/>
      <c r="K19" s="52" t="s">
        <v>109</v>
      </c>
      <c r="L19" s="52" t="s">
        <v>110</v>
      </c>
      <c r="M19" s="53" t="s">
        <v>111</v>
      </c>
      <c r="N19" s="80" t="s">
        <v>52</v>
      </c>
      <c r="O19" s="92"/>
      <c r="P19" s="22"/>
      <c r="Q19" s="22"/>
      <c r="R19" s="22"/>
      <c r="W19" s="22"/>
      <c r="X19" s="22"/>
      <c r="Y19" s="22"/>
      <c r="Z19" s="22"/>
    </row>
    <row r="20" spans="2:26" ht="18.75" x14ac:dyDescent="0.3">
      <c r="B20" s="59" t="s">
        <v>112</v>
      </c>
      <c r="C20" s="61" t="s">
        <v>113</v>
      </c>
      <c r="D20" s="54" t="s">
        <v>114</v>
      </c>
      <c r="E20" s="54" t="s">
        <v>115</v>
      </c>
      <c r="F20" s="54" t="s">
        <v>113</v>
      </c>
      <c r="G20" s="54" t="s">
        <v>114</v>
      </c>
      <c r="H20" s="54" t="s">
        <v>6</v>
      </c>
      <c r="I20" s="93" t="s">
        <v>11</v>
      </c>
      <c r="J20" s="93"/>
      <c r="K20" s="54" t="s">
        <v>113</v>
      </c>
      <c r="L20" s="54" t="s">
        <v>116</v>
      </c>
      <c r="M20" s="54" t="s">
        <v>117</v>
      </c>
      <c r="N20" s="54" t="s">
        <v>118</v>
      </c>
      <c r="O20" s="55" t="s">
        <v>119</v>
      </c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</row>
    <row r="21" spans="2:26" ht="18.75" x14ac:dyDescent="0.3">
      <c r="B21" s="49" t="s">
        <v>135</v>
      </c>
      <c r="C21" s="62">
        <v>1</v>
      </c>
      <c r="D21" s="33">
        <v>6</v>
      </c>
      <c r="E21" s="33">
        <f>Manutention!$K$10</f>
        <v>4</v>
      </c>
      <c r="F21" s="33">
        <f>Manutention!$K$11</f>
        <v>1</v>
      </c>
      <c r="G21" s="33">
        <v>1</v>
      </c>
      <c r="H21" s="33">
        <v>3</v>
      </c>
      <c r="I21" s="87"/>
      <c r="J21" s="87"/>
      <c r="K21" s="33"/>
      <c r="L21" s="33"/>
      <c r="M21" s="33">
        <f>$C$6</f>
        <v>4</v>
      </c>
      <c r="N21" s="50">
        <f>IF(ISBLANK(L21),(C21+D21+E21+F21+G21+H21+I21+K21)*10,L21/0.036)*IF(ISBLANK(M21),1,M21)</f>
        <v>640</v>
      </c>
      <c r="O21" s="56">
        <f>N21*0.036</f>
        <v>23.04</v>
      </c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</row>
    <row r="22" spans="2:26" ht="18.75" x14ac:dyDescent="0.3">
      <c r="B22" s="49" t="s">
        <v>120</v>
      </c>
      <c r="C22" s="62">
        <v>1</v>
      </c>
      <c r="D22" s="33"/>
      <c r="E22" s="33">
        <v>0</v>
      </c>
      <c r="F22" s="33">
        <v>3</v>
      </c>
      <c r="G22" s="33"/>
      <c r="H22" s="33">
        <v>6</v>
      </c>
      <c r="I22" s="87"/>
      <c r="J22" s="87"/>
      <c r="K22" s="33"/>
      <c r="L22" s="33"/>
      <c r="M22" s="33">
        <f t="shared" ref="M22" si="0">$C$6</f>
        <v>4</v>
      </c>
      <c r="N22" s="50">
        <f t="shared" ref="N22:N32" si="1">IF(ISBLANK(L22),(C22+D22+E22+F22+G22+H22+I22+K22)*10,L22/0.036)*IF(ISBLANK(M22),1,M22)</f>
        <v>400</v>
      </c>
      <c r="O22" s="56">
        <f t="shared" ref="O22:O32" si="2">N22*0.036</f>
        <v>14.399999999999999</v>
      </c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</row>
    <row r="23" spans="2:26" ht="18.75" x14ac:dyDescent="0.3">
      <c r="B23" s="49" t="s">
        <v>136</v>
      </c>
      <c r="C23" s="62">
        <v>3</v>
      </c>
      <c r="D23" s="33">
        <v>6</v>
      </c>
      <c r="E23" s="33">
        <v>1</v>
      </c>
      <c r="F23" s="33">
        <v>3</v>
      </c>
      <c r="G23" s="33">
        <v>6</v>
      </c>
      <c r="H23" s="33">
        <v>10</v>
      </c>
      <c r="I23" s="87"/>
      <c r="J23" s="87"/>
      <c r="K23" s="33"/>
      <c r="L23" s="33"/>
      <c r="M23" s="33">
        <f>$C$7</f>
        <v>4</v>
      </c>
      <c r="N23" s="50">
        <f t="shared" si="1"/>
        <v>1160</v>
      </c>
      <c r="O23" s="56">
        <f t="shared" si="2"/>
        <v>41.76</v>
      </c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</row>
    <row r="24" spans="2:26" s="24" customFormat="1" ht="18.75" x14ac:dyDescent="0.3">
      <c r="B24" s="49" t="s">
        <v>138</v>
      </c>
      <c r="C24" s="62">
        <v>3</v>
      </c>
      <c r="D24" s="33">
        <v>3</v>
      </c>
      <c r="E24" s="33">
        <v>1</v>
      </c>
      <c r="F24" s="33"/>
      <c r="G24" s="33"/>
      <c r="H24" s="33"/>
      <c r="I24" s="87"/>
      <c r="J24" s="87"/>
      <c r="K24" s="33"/>
      <c r="L24" s="33"/>
      <c r="M24" s="33"/>
      <c r="N24" s="50">
        <f t="shared" si="1"/>
        <v>70</v>
      </c>
      <c r="O24" s="56">
        <f t="shared" si="2"/>
        <v>2.52</v>
      </c>
    </row>
    <row r="25" spans="2:26" s="24" customFormat="1" ht="18.75" x14ac:dyDescent="0.3">
      <c r="B25" s="49" t="s">
        <v>139</v>
      </c>
      <c r="C25" s="62"/>
      <c r="D25" s="33"/>
      <c r="E25" s="33"/>
      <c r="F25" s="33">
        <v>6</v>
      </c>
      <c r="G25" s="33">
        <v>1</v>
      </c>
      <c r="H25" s="33">
        <v>3</v>
      </c>
      <c r="I25" s="87"/>
      <c r="J25" s="87"/>
      <c r="K25" s="33"/>
      <c r="L25" s="33"/>
      <c r="M25" s="33"/>
      <c r="N25" s="50">
        <f t="shared" si="1"/>
        <v>100</v>
      </c>
      <c r="O25" s="56">
        <f t="shared" si="2"/>
        <v>3.5999999999999996</v>
      </c>
    </row>
    <row r="26" spans="2:26" ht="18.75" x14ac:dyDescent="0.3">
      <c r="B26" s="49" t="s">
        <v>121</v>
      </c>
      <c r="C26" s="62"/>
      <c r="D26" s="33"/>
      <c r="E26" s="33"/>
      <c r="F26" s="33"/>
      <c r="G26" s="33"/>
      <c r="H26" s="33"/>
      <c r="I26" s="87"/>
      <c r="J26" s="87"/>
      <c r="K26" s="33">
        <v>6</v>
      </c>
      <c r="L26" s="23">
        <f>'Calcul Temps Technique'!K5</f>
        <v>234.66874952373695</v>
      </c>
      <c r="M26" s="33">
        <v>1</v>
      </c>
      <c r="N26" s="50">
        <f t="shared" si="1"/>
        <v>6518.5763756593606</v>
      </c>
      <c r="O26" s="56">
        <f t="shared" si="2"/>
        <v>234.66874952373695</v>
      </c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</row>
    <row r="27" spans="2:26" ht="18.75" x14ac:dyDescent="0.3">
      <c r="B27" s="49" t="s">
        <v>140</v>
      </c>
      <c r="C27" s="62">
        <f>C25</f>
        <v>0</v>
      </c>
      <c r="D27" s="33">
        <f>D25</f>
        <v>0</v>
      </c>
      <c r="E27" s="33">
        <f t="shared" ref="E27:H27" si="3">E25</f>
        <v>0</v>
      </c>
      <c r="F27" s="33">
        <f t="shared" si="3"/>
        <v>6</v>
      </c>
      <c r="G27" s="33">
        <f t="shared" si="3"/>
        <v>1</v>
      </c>
      <c r="H27" s="33">
        <f t="shared" si="3"/>
        <v>3</v>
      </c>
      <c r="I27" s="87"/>
      <c r="J27" s="87"/>
      <c r="K27" s="33"/>
      <c r="L27" s="33"/>
      <c r="M27" s="33"/>
      <c r="N27" s="50">
        <f t="shared" si="1"/>
        <v>100</v>
      </c>
      <c r="O27" s="56">
        <f t="shared" si="2"/>
        <v>3.5999999999999996</v>
      </c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</row>
    <row r="28" spans="2:26" s="24" customFormat="1" ht="18.75" x14ac:dyDescent="0.3">
      <c r="B28" s="49" t="s">
        <v>142</v>
      </c>
      <c r="C28" s="62">
        <v>6</v>
      </c>
      <c r="D28" s="33">
        <v>3</v>
      </c>
      <c r="E28" s="33">
        <v>10</v>
      </c>
      <c r="F28" s="33">
        <v>6</v>
      </c>
      <c r="G28" s="33">
        <v>3</v>
      </c>
      <c r="H28" s="33">
        <v>10</v>
      </c>
      <c r="I28" s="87"/>
      <c r="J28" s="87"/>
      <c r="K28" s="33"/>
      <c r="L28" s="33"/>
      <c r="M28" s="33"/>
      <c r="N28" s="50">
        <f t="shared" si="1"/>
        <v>380</v>
      </c>
      <c r="O28" s="56">
        <f t="shared" si="2"/>
        <v>13.68</v>
      </c>
    </row>
    <row r="29" spans="2:26" ht="18.75" x14ac:dyDescent="0.3">
      <c r="B29" s="49" t="s">
        <v>141</v>
      </c>
      <c r="C29" s="62">
        <f>C23</f>
        <v>3</v>
      </c>
      <c r="D29" s="33">
        <f>D23</f>
        <v>6</v>
      </c>
      <c r="E29" s="33">
        <f>E23</f>
        <v>1</v>
      </c>
      <c r="F29" s="33">
        <f>F23</f>
        <v>3</v>
      </c>
      <c r="G29" s="33">
        <f>G23</f>
        <v>6</v>
      </c>
      <c r="H29" s="33">
        <f>H23/2</f>
        <v>5</v>
      </c>
      <c r="I29" s="87"/>
      <c r="J29" s="87"/>
      <c r="K29" s="33"/>
      <c r="L29" s="33"/>
      <c r="M29" s="33">
        <f>$C$7</f>
        <v>4</v>
      </c>
      <c r="N29" s="50">
        <f t="shared" si="1"/>
        <v>960</v>
      </c>
      <c r="O29" s="56">
        <f t="shared" si="2"/>
        <v>34.559999999999995</v>
      </c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</row>
    <row r="30" spans="2:26" s="24" customFormat="1" ht="18.75" x14ac:dyDescent="0.3">
      <c r="B30" s="49" t="s">
        <v>122</v>
      </c>
      <c r="C30" s="62">
        <f>C21</f>
        <v>1</v>
      </c>
      <c r="D30" s="33">
        <f t="shared" ref="D30:H30" si="4">D21</f>
        <v>6</v>
      </c>
      <c r="E30" s="33">
        <f t="shared" si="4"/>
        <v>4</v>
      </c>
      <c r="F30" s="33">
        <f t="shared" si="4"/>
        <v>1</v>
      </c>
      <c r="G30" s="33">
        <f t="shared" si="4"/>
        <v>1</v>
      </c>
      <c r="H30" s="33">
        <f t="shared" si="4"/>
        <v>3</v>
      </c>
      <c r="I30" s="87"/>
      <c r="J30" s="87"/>
      <c r="K30" s="33"/>
      <c r="L30" s="33"/>
      <c r="M30" s="33">
        <f t="shared" ref="M30:M31" si="5">$C$6</f>
        <v>4</v>
      </c>
      <c r="N30" s="50">
        <f t="shared" si="1"/>
        <v>640</v>
      </c>
      <c r="O30" s="56">
        <f t="shared" si="2"/>
        <v>23.04</v>
      </c>
    </row>
    <row r="31" spans="2:26" ht="18.75" x14ac:dyDescent="0.3">
      <c r="B31" s="49" t="s">
        <v>123</v>
      </c>
      <c r="C31" s="62">
        <f>IF($Z$1,0,C21)</f>
        <v>1</v>
      </c>
      <c r="D31" s="33"/>
      <c r="E31" s="33">
        <f>IF($Z$1,0,E21)</f>
        <v>4</v>
      </c>
      <c r="F31" s="33">
        <f>IF($Z$1,0,6)</f>
        <v>6</v>
      </c>
      <c r="G31" s="33">
        <f>IF($Z$1,0,3)</f>
        <v>3</v>
      </c>
      <c r="H31" s="33">
        <f>IF($Z$1,0,3)</f>
        <v>3</v>
      </c>
      <c r="I31" s="87"/>
      <c r="J31" s="87"/>
      <c r="K31" s="33"/>
      <c r="L31" s="33"/>
      <c r="M31" s="33">
        <f t="shared" si="5"/>
        <v>4</v>
      </c>
      <c r="N31" s="50">
        <f t="shared" si="1"/>
        <v>680</v>
      </c>
      <c r="O31" s="56">
        <f t="shared" si="2"/>
        <v>24.479999999999997</v>
      </c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</row>
    <row r="32" spans="2:26" s="24" customFormat="1" ht="19.5" thickBot="1" x14ac:dyDescent="0.35">
      <c r="B32" s="60" t="s">
        <v>143</v>
      </c>
      <c r="C32" s="63">
        <v>3</v>
      </c>
      <c r="D32" s="34">
        <v>6</v>
      </c>
      <c r="E32" s="34">
        <v>1</v>
      </c>
      <c r="F32" s="34"/>
      <c r="G32" s="34"/>
      <c r="H32" s="34">
        <v>10</v>
      </c>
      <c r="I32" s="88"/>
      <c r="J32" s="88"/>
      <c r="K32" s="34"/>
      <c r="L32" s="34"/>
      <c r="M32" s="34">
        <f>$C$8</f>
        <v>2</v>
      </c>
      <c r="N32" s="57">
        <f t="shared" si="1"/>
        <v>400</v>
      </c>
      <c r="O32" s="58">
        <f t="shared" si="2"/>
        <v>14.399999999999999</v>
      </c>
    </row>
  </sheetData>
  <mergeCells count="28">
    <mergeCell ref="I32:J32"/>
    <mergeCell ref="L5:O5"/>
    <mergeCell ref="L1:O1"/>
    <mergeCell ref="B1:B2"/>
    <mergeCell ref="N19:O19"/>
    <mergeCell ref="I20:J20"/>
    <mergeCell ref="I26:J26"/>
    <mergeCell ref="I24:J24"/>
    <mergeCell ref="I25:J25"/>
    <mergeCell ref="C2:F2"/>
    <mergeCell ref="G2:J2"/>
    <mergeCell ref="C1:F1"/>
    <mergeCell ref="G1:J1"/>
    <mergeCell ref="I27:J27"/>
    <mergeCell ref="I29:J29"/>
    <mergeCell ref="I31:J31"/>
    <mergeCell ref="I28:J28"/>
    <mergeCell ref="I30:J30"/>
    <mergeCell ref="I21:J21"/>
    <mergeCell ref="I22:J22"/>
    <mergeCell ref="I23:J23"/>
    <mergeCell ref="C5:G5"/>
    <mergeCell ref="C19:E19"/>
    <mergeCell ref="F19:H19"/>
    <mergeCell ref="I19:J19"/>
    <mergeCell ref="C6:G6"/>
    <mergeCell ref="C7:G7"/>
    <mergeCell ref="C8:G8"/>
  </mergeCells>
  <dataValidations count="1">
    <dataValidation type="whole" operator="greaterThanOrEqual" allowBlank="1" showInputMessage="1" showErrorMessage="1" errorTitle="Erreur" error="Le nombre de gabarit doit etre &gt;=0" sqref="C8">
      <formula1>0</formula1>
    </dataValidation>
  </dataValidations>
  <pageMargins left="0.7" right="0.7" top="0.75" bottom="0.75" header="0.3" footer="0.3"/>
  <pageSetup paperSize="9" scale="53" orientation="portrait" r:id="rId1"/>
  <colBreaks count="1" manualBreakCount="1">
    <brk id="15" max="3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CS_Cliquer">
                <anchor moveWithCells="1" sizeWithCells="1">
                  <from>
                    <xdr:col>1</xdr:col>
                    <xdr:colOff>76200</xdr:colOff>
                    <xdr:row>17</xdr:row>
                    <xdr:rowOff>47625</xdr:rowOff>
                  </from>
                  <to>
                    <xdr:col>1</xdr:col>
                    <xdr:colOff>1514475</xdr:colOff>
                    <xdr:row>18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2:Q100"/>
  <sheetViews>
    <sheetView zoomScaleNormal="100" zoomScaleSheetLayoutView="100" workbookViewId="0">
      <selection activeCell="C12" sqref="C12"/>
    </sheetView>
  </sheetViews>
  <sheetFormatPr baseColWidth="10" defaultRowHeight="15" x14ac:dyDescent="0.25"/>
  <cols>
    <col min="2" max="2" width="0" hidden="1" customWidth="1"/>
    <col min="3" max="3" width="15.85546875" bestFit="1" customWidth="1"/>
    <col min="4" max="4" width="19.28515625" customWidth="1"/>
    <col min="5" max="5" width="20.42578125" bestFit="1" customWidth="1"/>
    <col min="6" max="6" width="15" bestFit="1" customWidth="1"/>
    <col min="7" max="7" width="0" hidden="1" customWidth="1"/>
    <col min="8" max="8" width="20.140625" bestFit="1" customWidth="1"/>
    <col min="10" max="10" width="17.140625" bestFit="1" customWidth="1"/>
    <col min="11" max="11" width="18.7109375" bestFit="1" customWidth="1"/>
    <col min="12" max="12" width="29.85546875" bestFit="1" customWidth="1"/>
    <col min="13" max="13" width="12" bestFit="1" customWidth="1"/>
    <col min="14" max="14" width="11.42578125" hidden="1" customWidth="1"/>
  </cols>
  <sheetData>
    <row r="2" spans="1:17" ht="18.75" x14ac:dyDescent="0.3">
      <c r="J2" s="75" t="s">
        <v>99</v>
      </c>
      <c r="K2" s="75" t="s">
        <v>101</v>
      </c>
      <c r="L2" s="75" t="s">
        <v>151</v>
      </c>
    </row>
    <row r="3" spans="1:17" ht="21.75" thickBot="1" x14ac:dyDescent="0.4">
      <c r="C3" s="64" t="s">
        <v>153</v>
      </c>
      <c r="D3" s="77" t="s">
        <v>154</v>
      </c>
      <c r="E3" s="20"/>
      <c r="H3" s="64" t="s">
        <v>94</v>
      </c>
      <c r="I3" s="64"/>
      <c r="J3" s="25">
        <f>SUMIF(N11:N18,"x",M11:M18)</f>
        <v>50.167187380934237</v>
      </c>
      <c r="K3" s="25">
        <f>D5*J3</f>
        <v>200.66874952373695</v>
      </c>
      <c r="L3" s="25">
        <f>K3/$D$5</f>
        <v>50.167187380934237</v>
      </c>
      <c r="N3" s="21"/>
      <c r="O3" s="21"/>
    </row>
    <row r="4" spans="1:17" ht="21" x14ac:dyDescent="0.35">
      <c r="C4" s="64" t="s">
        <v>51</v>
      </c>
      <c r="D4" s="70">
        <v>12</v>
      </c>
      <c r="H4" s="64" t="s">
        <v>95</v>
      </c>
      <c r="I4" s="64"/>
      <c r="J4" s="25">
        <f>17*COUNTIF(N11:N81,"x")</f>
        <v>34</v>
      </c>
      <c r="K4" s="25">
        <f>J4</f>
        <v>34</v>
      </c>
      <c r="L4" s="25">
        <f t="shared" ref="L4:L7" si="0">K4/$D$5</f>
        <v>8.5</v>
      </c>
    </row>
    <row r="5" spans="1:17" ht="21.75" thickBot="1" x14ac:dyDescent="0.4">
      <c r="C5" s="64" t="s">
        <v>100</v>
      </c>
      <c r="D5" s="68">
        <v>4</v>
      </c>
      <c r="H5" s="64" t="s">
        <v>96</v>
      </c>
      <c r="I5" s="64"/>
      <c r="J5" s="25">
        <f>J4+J3</f>
        <v>84.167187380934237</v>
      </c>
      <c r="K5" s="25">
        <f>J4+K3</f>
        <v>234.66874952373695</v>
      </c>
      <c r="L5" s="25">
        <f t="shared" si="0"/>
        <v>58.667187380934237</v>
      </c>
    </row>
    <row r="6" spans="1:17" ht="18.75" x14ac:dyDescent="0.3">
      <c r="H6" s="64"/>
      <c r="I6" s="64"/>
      <c r="J6" s="25">
        <f>CONVERT(J5,"sec","mn")</f>
        <v>1.4027864563489039</v>
      </c>
      <c r="K6" s="25">
        <f>CONVERT(K5,"sec","mn")</f>
        <v>3.9111458253956157</v>
      </c>
      <c r="L6" s="25">
        <f t="shared" si="0"/>
        <v>0.97778645634890393</v>
      </c>
    </row>
    <row r="7" spans="1:17" ht="18.75" x14ac:dyDescent="0.3">
      <c r="H7" s="64"/>
      <c r="I7" s="64"/>
      <c r="J7" s="76">
        <f>J6/24</f>
        <v>5.844943568120433E-2</v>
      </c>
      <c r="K7" s="76">
        <f>K6/24</f>
        <v>0.16296440939148399</v>
      </c>
      <c r="L7" s="76">
        <f t="shared" si="0"/>
        <v>4.0741102347870997E-2</v>
      </c>
    </row>
    <row r="8" spans="1:17" ht="15.75" thickBot="1" x14ac:dyDescent="0.3"/>
    <row r="9" spans="1:17" ht="18.75" x14ac:dyDescent="0.3">
      <c r="C9" s="97" t="s">
        <v>39</v>
      </c>
      <c r="D9" s="99" t="s">
        <v>40</v>
      </c>
      <c r="E9" s="101" t="s">
        <v>149</v>
      </c>
      <c r="F9" s="101" t="s">
        <v>150</v>
      </c>
      <c r="G9" s="99" t="s">
        <v>45</v>
      </c>
      <c r="H9" s="65" t="s">
        <v>86</v>
      </c>
      <c r="I9" s="65" t="s">
        <v>87</v>
      </c>
      <c r="J9" s="65" t="s">
        <v>88</v>
      </c>
      <c r="K9" s="65" t="s">
        <v>89</v>
      </c>
      <c r="L9" s="65" t="s">
        <v>97</v>
      </c>
      <c r="M9" s="95" t="s">
        <v>98</v>
      </c>
    </row>
    <row r="10" spans="1:17" ht="19.5" thickBot="1" x14ac:dyDescent="0.35">
      <c r="C10" s="98"/>
      <c r="D10" s="100"/>
      <c r="E10" s="100"/>
      <c r="F10" s="100"/>
      <c r="G10" s="100"/>
      <c r="H10" s="66" t="s">
        <v>41</v>
      </c>
      <c r="I10" s="66" t="s">
        <v>48</v>
      </c>
      <c r="J10" s="66" t="s">
        <v>49</v>
      </c>
      <c r="K10" s="66" t="s">
        <v>31</v>
      </c>
      <c r="L10" s="66" t="s">
        <v>50</v>
      </c>
      <c r="M10" s="96"/>
    </row>
    <row r="11" spans="1:17" s="69" customFormat="1" x14ac:dyDescent="0.25">
      <c r="A11"/>
      <c r="B11">
        <v>13</v>
      </c>
      <c r="C11" t="s">
        <v>22</v>
      </c>
      <c r="D11" s="128">
        <v>13</v>
      </c>
      <c r="E11">
        <v>12</v>
      </c>
      <c r="F11">
        <v>4</v>
      </c>
      <c r="G11"/>
      <c r="H11">
        <f>INDEX(PercageExt,MATCH($B$11,Percage,1),4)</f>
        <v>90</v>
      </c>
      <c r="I11">
        <f>INDEX(PercageExt,MATCH($B$11,Percage,1),3)</f>
        <v>0.1</v>
      </c>
      <c r="J11">
        <f>INDEX(PercageExt,MATCH($B$11,Percage,1),2)</f>
        <v>1</v>
      </c>
      <c r="K11">
        <f>ROUNDDOWN((1000*$H$11)/(PI()*$B$11),0)</f>
        <v>2203</v>
      </c>
      <c r="L11">
        <f>ROUNDDOWN(I11*J11*K11,0)</f>
        <v>220</v>
      </c>
      <c r="M11" s="129">
        <f>((E11/L11)*F11+F11*0.08)*60</f>
        <v>32.290909090909089</v>
      </c>
      <c r="N11" t="s">
        <v>155</v>
      </c>
      <c r="O11" s="71"/>
    </row>
    <row r="12" spans="1:17" s="69" customFormat="1" x14ac:dyDescent="0.25">
      <c r="A12"/>
      <c r="B12">
        <v>32</v>
      </c>
      <c r="C12" t="s">
        <v>27</v>
      </c>
      <c r="D12" s="128">
        <v>32</v>
      </c>
      <c r="E12">
        <v>260</v>
      </c>
      <c r="F12">
        <v>1</v>
      </c>
      <c r="G12"/>
      <c r="H12">
        <f>VLOOKUP($B$12,ChanfreinageExt,4,FALSE)</f>
        <v>200</v>
      </c>
      <c r="I12">
        <f>VLOOKUP($B$12,ChanfreinageExt,3,FALSE)</f>
        <v>0.2</v>
      </c>
      <c r="J12">
        <f>VLOOKUP($B$12,ChanfreinageExt,2,FALSE)</f>
        <v>3</v>
      </c>
      <c r="K12">
        <f>ROUNDDOWN((1000*$H$12)/(PI()*$B$12),0)</f>
        <v>1989</v>
      </c>
      <c r="L12">
        <f>ROUNDDOWN(I12*J12*K12,0)</f>
        <v>1193</v>
      </c>
      <c r="M12" s="129">
        <f>((E12/L12)*F12+F12*0.08)*60</f>
        <v>17.876278290025148</v>
      </c>
      <c r="N12" t="s">
        <v>155</v>
      </c>
    </row>
    <row r="13" spans="1:17" s="69" customFormat="1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Q13" s="72"/>
    </row>
    <row r="14" spans="1:17" s="69" customFormat="1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Q14" s="72"/>
    </row>
    <row r="15" spans="1:17" s="69" customFormat="1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Q15" s="72"/>
    </row>
    <row r="16" spans="1:17" s="69" customForma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Q16" s="73"/>
    </row>
    <row r="17" spans="1:17" s="69" customForma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Q17" s="74"/>
    </row>
    <row r="18" spans="1:17" s="69" customFormat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</row>
    <row r="19" spans="1:17" s="69" customFormat="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</row>
    <row r="20" spans="1:17" s="69" customFormat="1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</row>
    <row r="21" spans="1:17" s="69" customFormat="1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</row>
    <row r="22" spans="1:17" s="69" customFormat="1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</row>
    <row r="23" spans="1:17" s="69" customForma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</row>
    <row r="24" spans="1:17" s="69" customForma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</row>
    <row r="25" spans="1:17" s="69" customForma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</row>
    <row r="26" spans="1:17" s="69" customForma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</row>
    <row r="27" spans="1:17" s="69" customForma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</row>
    <row r="28" spans="1:17" s="69" customFormat="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</row>
    <row r="29" spans="1:17" s="69" customFormat="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</row>
    <row r="30" spans="1:17" s="69" customFormat="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</row>
    <row r="31" spans="1:17" s="69" customFormat="1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</row>
    <row r="32" spans="1:17" s="69" customFormat="1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 s="72"/>
    </row>
    <row r="33" spans="1:15" s="69" customFormat="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 s="72"/>
    </row>
    <row r="34" spans="1:15" s="69" customFormat="1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 s="73"/>
    </row>
    <row r="35" spans="1:15" s="69" customFormat="1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</row>
    <row r="36" spans="1:15" s="69" customFormat="1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</row>
    <row r="37" spans="1:15" s="69" customFormat="1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</row>
    <row r="38" spans="1:15" s="69" customFormat="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</row>
    <row r="39" spans="1:15" s="69" customFormat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</row>
    <row r="40" spans="1:15" s="69" customForma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</row>
    <row r="41" spans="1:15" s="69" customForma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</row>
    <row r="42" spans="1:15" s="69" customForma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</row>
    <row r="43" spans="1:15" s="69" customForma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</row>
    <row r="44" spans="1:15" s="69" customForma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</row>
    <row r="45" spans="1:15" s="69" customForma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</row>
    <row r="46" spans="1:15" s="69" customForma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</row>
    <row r="47" spans="1:15" s="69" customForma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</row>
    <row r="48" spans="1:15" s="69" customForma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</row>
    <row r="49" spans="1:14" s="69" customFormat="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</row>
    <row r="50" spans="1:14" s="69" customForma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</row>
    <row r="51" spans="1:14" s="69" customForma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14" s="69" customForma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1:14" s="69" customForma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1:14" s="69" customForma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1:14" s="69" customFormat="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1:14" s="69" customForma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</row>
    <row r="57" spans="1:14" s="69" customFormat="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</row>
    <row r="58" spans="1:14" s="69" customForma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</row>
    <row r="59" spans="1:14" s="69" customForma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</row>
    <row r="60" spans="1:14" s="69" customFormat="1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</row>
    <row r="61" spans="1:14" s="69" customForma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</row>
    <row r="62" spans="1:14" s="69" customFormat="1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</row>
    <row r="63" spans="1:14" s="69" customFormat="1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</row>
    <row r="64" spans="1:14" s="69" customForma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</row>
    <row r="65" spans="1:14" s="69" customForma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</row>
    <row r="66" spans="1:14" s="69" customForma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</row>
    <row r="67" spans="1:14" s="69" customForma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</row>
    <row r="68" spans="1:14" s="69" customForma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</row>
    <row r="69" spans="1:14" s="69" customForma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</row>
    <row r="70" spans="1:14" s="69" customForma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</row>
    <row r="71" spans="1:14" s="69" customForma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</row>
    <row r="72" spans="1:14" s="69" customForma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</row>
    <row r="73" spans="1:14" s="69" customForma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</row>
    <row r="74" spans="1:14" s="69" customForma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</row>
    <row r="75" spans="1:14" s="69" customForma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</row>
    <row r="76" spans="1:14" s="69" customForma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</row>
    <row r="77" spans="1:14" s="69" customForma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</row>
    <row r="78" spans="1:14" s="69" customForma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</row>
    <row r="79" spans="1:14" s="69" customForma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</row>
    <row r="80" spans="1:14" s="69" customForma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</row>
    <row r="81" spans="1:14" s="69" customForma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</row>
    <row r="82" spans="1:14" s="69" customForma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</row>
    <row r="83" spans="1:14" s="69" customForma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</row>
    <row r="84" spans="1:14" s="69" customForma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</row>
    <row r="85" spans="1:14" s="69" customForma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</row>
    <row r="86" spans="1:14" s="69" customForma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</row>
    <row r="87" spans="1:14" s="69" customForma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</row>
    <row r="88" spans="1:14" s="69" customForma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</row>
    <row r="89" spans="1:14" s="69" customForma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</row>
    <row r="90" spans="1:14" s="69" customForma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</row>
    <row r="91" spans="1:14" s="69" customForma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</row>
    <row r="92" spans="1:14" s="69" customForma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</row>
    <row r="93" spans="1:14" s="69" customForma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</row>
    <row r="94" spans="1:14" s="69" customForma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</row>
    <row r="95" spans="1:14" s="69" customForma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</row>
    <row r="96" spans="1:14" s="69" customForma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</row>
    <row r="97" spans="1:14" s="69" customForma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</row>
    <row r="98" spans="1:14" s="69" customForma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</row>
    <row r="99" spans="1:14" s="69" customForma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</row>
    <row r="100" spans="1:14" s="69" customForma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</row>
  </sheetData>
  <mergeCells count="6">
    <mergeCell ref="M9:M10"/>
    <mergeCell ref="C9:C10"/>
    <mergeCell ref="D9:D10"/>
    <mergeCell ref="E9:E10"/>
    <mergeCell ref="F9:F10"/>
    <mergeCell ref="G9:G10"/>
  </mergeCells>
  <dataValidations count="8">
    <dataValidation type="list" allowBlank="1" showInputMessage="1" showErrorMessage="1" sqref="A1">
      <formula1>Operations</formula1>
    </dataValidation>
    <dataValidation type="list" allowBlank="1" showInputMessage="1" showErrorMessage="1" errorTitle="Erreur" error="Vous devez choisir une opération dans la liste" sqref="O35 Q12">
      <formula1>Operations</formula1>
    </dataValidation>
    <dataValidation type="list" allowBlank="1" showInputMessage="1" showErrorMessage="1" errorTitle="Erreur" error="Vous devez choisir une opération dans la liste" sqref="N6">
      <formula1>Operations</formula1>
    </dataValidation>
    <dataValidation type="list" allowBlank="1" showInputMessage="1" showErrorMessage="1" errorTitle="Erreur" error="Vous devez choisir une opération dans la liste" sqref="C17">
      <formula1>Operations</formula1>
    </dataValidation>
    <dataValidation type="list" allowBlank="1" showInputMessage="1" showErrorMessage="1" errorTitle="Erreur" error="Vous devez choisir une opération dans la liste" sqref="C15">
      <formula1>Operations</formula1>
    </dataValidation>
    <dataValidation type="list" allowBlank="1" showInputMessage="1" showErrorMessage="1" errorTitle="Erreur" error="Vous devez choisir une opération dans la liste" sqref="C11">
      <formula1>Operations</formula1>
    </dataValidation>
    <dataValidation type="list" allowBlank="1" showInputMessage="1" showErrorMessage="1" errorTitle="Erreur" error="Vous devez choisir une opération dans la liste" sqref="C12">
      <formula1>Operations</formula1>
    </dataValidation>
    <dataValidation type="list" allowBlank="1" showInputMessage="1" showErrorMessage="1" errorTitle="Erreur" error="Vous devez choisir une opération dans la liste" sqref="C13">
      <formula1>Operations</formula1>
    </dataValidation>
  </dataValidations>
  <pageMargins left="0.7" right="0.7" top="0.75" bottom="0.75" header="0.3" footer="0.3"/>
  <pageSetup paperSize="9" scale="7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aveCS_Cliquer">
                <anchor moveWithCells="1" sizeWithCells="1">
                  <from>
                    <xdr:col>0</xdr:col>
                    <xdr:colOff>657225</xdr:colOff>
                    <xdr:row>5</xdr:row>
                    <xdr:rowOff>104775</xdr:rowOff>
                  </from>
                  <to>
                    <xdr:col>3</xdr:col>
                    <xdr:colOff>9525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aveCTT_Cliquer">
                <anchor moveWithCells="1" sizeWithCells="1">
                  <from>
                    <xdr:col>3</xdr:col>
                    <xdr:colOff>276225</xdr:colOff>
                    <xdr:row>5</xdr:row>
                    <xdr:rowOff>95250</xdr:rowOff>
                  </from>
                  <to>
                    <xdr:col>4</xdr:col>
                    <xdr:colOff>314325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BC32"/>
  <sheetViews>
    <sheetView topLeftCell="B1" workbookViewId="0">
      <selection activeCell="X4" sqref="X4"/>
    </sheetView>
  </sheetViews>
  <sheetFormatPr baseColWidth="10" defaultRowHeight="15" x14ac:dyDescent="0.25"/>
  <cols>
    <col min="1" max="1" width="12.85546875" bestFit="1" customWidth="1"/>
    <col min="2" max="2" width="12.85546875" customWidth="1"/>
    <col min="3" max="5" width="12.85546875" hidden="1" customWidth="1"/>
    <col min="6" max="6" width="19" hidden="1" customWidth="1"/>
    <col min="7" max="8" width="0" hidden="1" customWidth="1"/>
    <col min="9" max="9" width="17.5703125" hidden="1" customWidth="1"/>
    <col min="10" max="10" width="12.140625" hidden="1" customWidth="1"/>
    <col min="11" max="11" width="7.28515625" hidden="1" customWidth="1"/>
    <col min="12" max="12" width="8" hidden="1" customWidth="1"/>
    <col min="13" max="13" width="0" hidden="1" customWidth="1"/>
    <col min="14" max="14" width="12.7109375" hidden="1" customWidth="1"/>
    <col min="15" max="15" width="0" style="17" hidden="1" customWidth="1"/>
    <col min="16" max="17" width="0" hidden="1" customWidth="1"/>
    <col min="18" max="18" width="14.140625" hidden="1" customWidth="1"/>
    <col min="19" max="19" width="20.85546875" hidden="1" customWidth="1"/>
    <col min="20" max="21" width="0" hidden="1" customWidth="1"/>
    <col min="24" max="24" width="12.42578125" customWidth="1"/>
    <col min="28" max="28" width="13" customWidth="1"/>
    <col min="29" max="29" width="11.85546875" customWidth="1"/>
    <col min="33" max="33" width="12.85546875" customWidth="1"/>
    <col min="37" max="37" width="12.42578125" customWidth="1"/>
    <col min="39" max="39" width="18.5703125" customWidth="1"/>
    <col min="43" max="43" width="12.42578125" customWidth="1"/>
    <col min="45" max="45" width="18.5703125" customWidth="1"/>
    <col min="49" max="49" width="12.42578125" customWidth="1"/>
    <col min="54" max="54" width="12.42578125" customWidth="1"/>
  </cols>
  <sheetData>
    <row r="1" spans="1:55" ht="15.75" thickBot="1" x14ac:dyDescent="0.3">
      <c r="H1" s="120" t="s">
        <v>22</v>
      </c>
      <c r="I1" s="120"/>
      <c r="J1" s="120"/>
      <c r="K1" s="120"/>
      <c r="L1" s="120"/>
      <c r="N1" s="119" t="s">
        <v>29</v>
      </c>
      <c r="O1" s="119"/>
      <c r="P1" s="119"/>
      <c r="Q1" s="18"/>
      <c r="R1" s="119" t="s">
        <v>44</v>
      </c>
      <c r="S1" s="119"/>
      <c r="T1" s="119"/>
      <c r="U1" s="19"/>
      <c r="V1" s="119" t="s">
        <v>22</v>
      </c>
      <c r="W1" s="119"/>
      <c r="X1" s="119"/>
      <c r="Y1" s="119"/>
      <c r="AA1" s="119" t="s">
        <v>23</v>
      </c>
      <c r="AB1" s="119"/>
      <c r="AC1" s="119"/>
      <c r="AD1" s="119"/>
      <c r="AE1" s="119"/>
      <c r="AF1" s="119"/>
      <c r="AG1" s="119"/>
      <c r="AI1" s="119" t="s">
        <v>24</v>
      </c>
      <c r="AJ1" s="119"/>
      <c r="AK1" s="119"/>
      <c r="AL1" s="119"/>
      <c r="AM1" s="119"/>
      <c r="AO1" s="119" t="s">
        <v>25</v>
      </c>
      <c r="AP1" s="119"/>
      <c r="AQ1" s="119"/>
      <c r="AR1" s="119"/>
      <c r="AS1" s="119"/>
      <c r="AU1" s="119" t="s">
        <v>26</v>
      </c>
      <c r="AV1" s="119"/>
      <c r="AW1" s="119"/>
      <c r="AX1" s="119"/>
      <c r="AZ1" s="119" t="s">
        <v>27</v>
      </c>
      <c r="BA1" s="119"/>
      <c r="BB1" s="119"/>
      <c r="BC1" s="119"/>
    </row>
    <row r="2" spans="1:55" ht="15.75" thickBot="1" x14ac:dyDescent="0.3">
      <c r="A2" t="s">
        <v>28</v>
      </c>
      <c r="C2" t="s">
        <v>38</v>
      </c>
      <c r="D2" t="s">
        <v>90</v>
      </c>
      <c r="F2" t="s">
        <v>44</v>
      </c>
      <c r="H2" s="105" t="s">
        <v>0</v>
      </c>
      <c r="I2" s="1" t="s">
        <v>1</v>
      </c>
      <c r="J2" s="107" t="s">
        <v>2</v>
      </c>
      <c r="K2" s="108"/>
      <c r="L2" s="109"/>
      <c r="N2" t="s">
        <v>42</v>
      </c>
      <c r="O2" s="17" t="s">
        <v>43</v>
      </c>
      <c r="P2" t="s">
        <v>90</v>
      </c>
      <c r="R2" t="s">
        <v>3</v>
      </c>
      <c r="S2" t="s">
        <v>4</v>
      </c>
      <c r="T2" t="s">
        <v>5</v>
      </c>
      <c r="V2" t="s">
        <v>79</v>
      </c>
      <c r="W2" t="s">
        <v>81</v>
      </c>
      <c r="X2" t="s">
        <v>82</v>
      </c>
      <c r="Y2" t="s">
        <v>80</v>
      </c>
      <c r="AA2" t="s">
        <v>53</v>
      </c>
      <c r="AB2" t="s">
        <v>77</v>
      </c>
      <c r="AC2" t="s">
        <v>78</v>
      </c>
      <c r="AD2" t="s">
        <v>41</v>
      </c>
      <c r="AE2" t="s">
        <v>54</v>
      </c>
      <c r="AF2" t="s">
        <v>92</v>
      </c>
      <c r="AG2" t="s">
        <v>93</v>
      </c>
      <c r="AI2" t="s">
        <v>79</v>
      </c>
      <c r="AJ2" t="s">
        <v>81</v>
      </c>
      <c r="AK2" t="s">
        <v>82</v>
      </c>
      <c r="AL2" t="s">
        <v>80</v>
      </c>
      <c r="AM2" t="s">
        <v>83</v>
      </c>
      <c r="AO2" t="s">
        <v>79</v>
      </c>
      <c r="AP2" t="s">
        <v>84</v>
      </c>
      <c r="AQ2" t="s">
        <v>82</v>
      </c>
      <c r="AR2" t="s">
        <v>80</v>
      </c>
      <c r="AS2" t="s">
        <v>83</v>
      </c>
      <c r="AU2" t="s">
        <v>91</v>
      </c>
      <c r="AV2" t="s">
        <v>84</v>
      </c>
      <c r="AW2" t="s">
        <v>82</v>
      </c>
      <c r="AX2" t="s">
        <v>80</v>
      </c>
      <c r="AZ2" t="s">
        <v>79</v>
      </c>
      <c r="BA2" t="s">
        <v>84</v>
      </c>
      <c r="BB2" t="s">
        <v>82</v>
      </c>
      <c r="BC2" t="s">
        <v>80</v>
      </c>
    </row>
    <row r="3" spans="1:55" ht="45.75" thickBot="1" x14ac:dyDescent="0.3">
      <c r="A3" t="s">
        <v>85</v>
      </c>
      <c r="C3" t="s">
        <v>34</v>
      </c>
      <c r="D3" t="s">
        <v>36</v>
      </c>
      <c r="F3" t="s">
        <v>3</v>
      </c>
      <c r="H3" s="106"/>
      <c r="I3" s="2"/>
      <c r="J3" s="3" t="s">
        <v>3</v>
      </c>
      <c r="K3" s="4" t="s">
        <v>4</v>
      </c>
      <c r="L3" s="5" t="s">
        <v>5</v>
      </c>
      <c r="R3">
        <v>30</v>
      </c>
      <c r="S3">
        <v>45</v>
      </c>
      <c r="T3">
        <v>70</v>
      </c>
      <c r="V3">
        <v>0</v>
      </c>
      <c r="W3">
        <v>1</v>
      </c>
      <c r="X3">
        <v>0.1</v>
      </c>
      <c r="Y3">
        <v>90</v>
      </c>
      <c r="AA3">
        <v>1</v>
      </c>
      <c r="AB3">
        <v>0.25</v>
      </c>
      <c r="AC3">
        <f>AA3-AB3</f>
        <v>0.75</v>
      </c>
      <c r="AD3">
        <v>10</v>
      </c>
      <c r="AE3" s="17" t="s">
        <v>55</v>
      </c>
      <c r="AF3">
        <v>0.90700000000000003</v>
      </c>
      <c r="AG3">
        <v>8.75</v>
      </c>
      <c r="AI3">
        <v>32</v>
      </c>
      <c r="AJ3">
        <v>3</v>
      </c>
      <c r="AK3">
        <f t="shared" ref="AK3:AK6" si="0">0.2</f>
        <v>0.2</v>
      </c>
      <c r="AL3">
        <v>200</v>
      </c>
      <c r="AM3">
        <v>2</v>
      </c>
      <c r="AO3">
        <v>32</v>
      </c>
      <c r="AP3">
        <v>3</v>
      </c>
      <c r="AQ3">
        <f t="shared" ref="AQ3:AQ4" si="1">0.3</f>
        <v>0.3</v>
      </c>
      <c r="AR3">
        <v>200</v>
      </c>
      <c r="AS3">
        <v>2</v>
      </c>
      <c r="AU3">
        <v>1</v>
      </c>
      <c r="AV3">
        <v>1</v>
      </c>
      <c r="AW3">
        <f>0.1</f>
        <v>0.1</v>
      </c>
      <c r="AX3">
        <v>200</v>
      </c>
      <c r="AZ3">
        <v>32</v>
      </c>
      <c r="BA3">
        <v>3</v>
      </c>
      <c r="BB3">
        <f>0.2</f>
        <v>0.2</v>
      </c>
      <c r="BC3">
        <v>200</v>
      </c>
    </row>
    <row r="4" spans="1:55" ht="15.75" thickBot="1" x14ac:dyDescent="0.3">
      <c r="A4" t="s">
        <v>26</v>
      </c>
      <c r="C4" t="s">
        <v>35</v>
      </c>
      <c r="D4" t="s">
        <v>37</v>
      </c>
      <c r="F4" t="s">
        <v>47</v>
      </c>
      <c r="G4" t="s">
        <v>46</v>
      </c>
      <c r="H4" s="110" t="s">
        <v>6</v>
      </c>
      <c r="I4" s="6" t="s">
        <v>7</v>
      </c>
      <c r="J4" s="7">
        <v>30</v>
      </c>
      <c r="K4" s="8">
        <v>45</v>
      </c>
      <c r="L4" s="7">
        <v>70</v>
      </c>
      <c r="N4" t="s">
        <v>6</v>
      </c>
      <c r="O4" s="17" t="s">
        <v>30</v>
      </c>
      <c r="P4" t="str">
        <f t="shared" ref="P4:P9" si="2">CONCATENATE($N$4,O4)</f>
        <v>P01</v>
      </c>
      <c r="R4">
        <v>20</v>
      </c>
      <c r="S4">
        <v>40</v>
      </c>
      <c r="T4">
        <v>60</v>
      </c>
      <c r="V4">
        <v>16.010000000000002</v>
      </c>
      <c r="W4">
        <v>1</v>
      </c>
      <c r="X4">
        <v>0.04</v>
      </c>
      <c r="Y4">
        <v>200</v>
      </c>
      <c r="AA4">
        <v>1.2</v>
      </c>
      <c r="AB4">
        <v>0.25</v>
      </c>
      <c r="AC4">
        <f t="shared" ref="AC4:AC32" si="3">AA4-AB4</f>
        <v>0.95</v>
      </c>
      <c r="AD4">
        <v>10</v>
      </c>
      <c r="AE4" s="17" t="s">
        <v>56</v>
      </c>
      <c r="AF4">
        <v>1.337</v>
      </c>
      <c r="AG4">
        <v>11.8</v>
      </c>
      <c r="AI4">
        <v>52</v>
      </c>
      <c r="AJ4">
        <v>5</v>
      </c>
      <c r="AK4">
        <f t="shared" si="0"/>
        <v>0.2</v>
      </c>
      <c r="AL4">
        <v>200</v>
      </c>
      <c r="AM4">
        <v>2</v>
      </c>
      <c r="AO4">
        <v>63</v>
      </c>
      <c r="AP4">
        <v>7</v>
      </c>
      <c r="AQ4">
        <f t="shared" si="1"/>
        <v>0.3</v>
      </c>
      <c r="AR4">
        <v>200</v>
      </c>
      <c r="AS4">
        <v>2</v>
      </c>
    </row>
    <row r="5" spans="1:55" ht="30.75" thickBot="1" x14ac:dyDescent="0.3">
      <c r="A5" t="s">
        <v>27</v>
      </c>
      <c r="F5" t="s">
        <v>5</v>
      </c>
      <c r="H5" s="111"/>
      <c r="I5" s="6" t="s">
        <v>8</v>
      </c>
      <c r="J5" s="9">
        <v>20</v>
      </c>
      <c r="K5" s="10">
        <v>40</v>
      </c>
      <c r="L5" s="9">
        <v>60</v>
      </c>
      <c r="O5" s="17">
        <v>10</v>
      </c>
      <c r="P5" t="str">
        <f t="shared" si="2"/>
        <v>P10</v>
      </c>
      <c r="R5">
        <v>15</v>
      </c>
      <c r="S5">
        <v>35</v>
      </c>
      <c r="T5">
        <v>40</v>
      </c>
      <c r="V5">
        <v>50.01</v>
      </c>
      <c r="AA5">
        <v>1.6</v>
      </c>
      <c r="AB5">
        <v>0.35</v>
      </c>
      <c r="AC5">
        <f t="shared" si="3"/>
        <v>1.25</v>
      </c>
      <c r="AD5">
        <v>10</v>
      </c>
      <c r="AE5" s="17" t="s">
        <v>57</v>
      </c>
      <c r="AF5">
        <v>1.337</v>
      </c>
      <c r="AG5">
        <v>15.25</v>
      </c>
      <c r="AI5">
        <v>80</v>
      </c>
      <c r="AJ5">
        <v>6</v>
      </c>
      <c r="AK5">
        <f t="shared" si="0"/>
        <v>0.2</v>
      </c>
      <c r="AL5">
        <v>200</v>
      </c>
      <c r="AM5">
        <v>2</v>
      </c>
    </row>
    <row r="6" spans="1:55" ht="30.75" thickBot="1" x14ac:dyDescent="0.3">
      <c r="A6" t="s">
        <v>25</v>
      </c>
      <c r="H6" s="111"/>
      <c r="I6" s="6" t="s">
        <v>9</v>
      </c>
      <c r="J6" s="9">
        <v>15</v>
      </c>
      <c r="K6" s="10">
        <v>35</v>
      </c>
      <c r="L6" s="9">
        <v>40</v>
      </c>
      <c r="O6" s="17">
        <v>20</v>
      </c>
      <c r="P6" t="str">
        <f t="shared" si="2"/>
        <v>P20</v>
      </c>
      <c r="R6">
        <v>10</v>
      </c>
      <c r="S6">
        <v>30</v>
      </c>
      <c r="T6">
        <v>70</v>
      </c>
      <c r="AA6">
        <v>2</v>
      </c>
      <c r="AB6">
        <v>0.4</v>
      </c>
      <c r="AC6">
        <f t="shared" si="3"/>
        <v>1.6</v>
      </c>
      <c r="AD6">
        <v>10</v>
      </c>
      <c r="AE6" s="17" t="s">
        <v>58</v>
      </c>
      <c r="AF6">
        <v>1.8140000000000001</v>
      </c>
      <c r="AG6">
        <v>19.05</v>
      </c>
      <c r="AI6">
        <v>125</v>
      </c>
      <c r="AJ6">
        <v>8</v>
      </c>
      <c r="AK6">
        <f t="shared" si="0"/>
        <v>0.2</v>
      </c>
      <c r="AL6">
        <v>200</v>
      </c>
      <c r="AM6">
        <v>2</v>
      </c>
    </row>
    <row r="7" spans="1:55" ht="30.75" thickBot="1" x14ac:dyDescent="0.3">
      <c r="A7" t="s">
        <v>22</v>
      </c>
      <c r="H7" s="112"/>
      <c r="I7" s="6" t="s">
        <v>10</v>
      </c>
      <c r="J7" s="9">
        <v>10</v>
      </c>
      <c r="K7" s="10">
        <v>30</v>
      </c>
      <c r="L7" s="9">
        <v>70</v>
      </c>
      <c r="O7" s="17">
        <v>30</v>
      </c>
      <c r="P7" t="str">
        <f t="shared" si="2"/>
        <v>P30</v>
      </c>
      <c r="AA7">
        <v>2.5</v>
      </c>
      <c r="AB7">
        <v>0.45</v>
      </c>
      <c r="AC7">
        <f t="shared" si="3"/>
        <v>2.0499999999999998</v>
      </c>
      <c r="AD7">
        <v>10</v>
      </c>
      <c r="AE7" s="17" t="s">
        <v>76</v>
      </c>
      <c r="AF7">
        <v>1.8140000000000001</v>
      </c>
      <c r="AG7">
        <v>21.03</v>
      </c>
    </row>
    <row r="8" spans="1:55" ht="15.75" thickBot="1" x14ac:dyDescent="0.3">
      <c r="A8" t="s">
        <v>24</v>
      </c>
      <c r="H8" s="11" t="s">
        <v>11</v>
      </c>
      <c r="I8" s="12" t="s">
        <v>12</v>
      </c>
      <c r="J8" s="13">
        <v>12</v>
      </c>
      <c r="K8" s="10">
        <v>20</v>
      </c>
      <c r="L8" s="9">
        <v>40</v>
      </c>
      <c r="O8" s="17">
        <v>40</v>
      </c>
      <c r="P8" t="str">
        <f t="shared" si="2"/>
        <v>P40</v>
      </c>
      <c r="AA8">
        <v>3</v>
      </c>
      <c r="AB8">
        <v>0.5</v>
      </c>
      <c r="AC8">
        <f t="shared" si="3"/>
        <v>2.5</v>
      </c>
      <c r="AD8">
        <v>10</v>
      </c>
      <c r="AE8" s="17" t="s">
        <v>59</v>
      </c>
      <c r="AF8">
        <v>1.8140000000000001</v>
      </c>
      <c r="AG8">
        <v>24.5</v>
      </c>
    </row>
    <row r="9" spans="1:55" ht="30.75" thickBot="1" x14ac:dyDescent="0.3">
      <c r="A9" t="s">
        <v>23</v>
      </c>
      <c r="H9" s="113" t="s">
        <v>13</v>
      </c>
      <c r="I9" s="14" t="s">
        <v>14</v>
      </c>
      <c r="J9" s="9">
        <v>25</v>
      </c>
      <c r="K9" s="10">
        <v>50</v>
      </c>
      <c r="L9" s="9">
        <v>80</v>
      </c>
      <c r="O9" s="17">
        <v>50</v>
      </c>
      <c r="P9" t="str">
        <f t="shared" si="2"/>
        <v>P50</v>
      </c>
      <c r="AA9">
        <v>4</v>
      </c>
      <c r="AB9">
        <v>0.7</v>
      </c>
      <c r="AC9">
        <f t="shared" si="3"/>
        <v>3.3</v>
      </c>
      <c r="AD9">
        <v>10</v>
      </c>
      <c r="AE9" s="17" t="s">
        <v>60</v>
      </c>
      <c r="AF9">
        <v>1.8140000000000001</v>
      </c>
      <c r="AG9">
        <v>28.25</v>
      </c>
    </row>
    <row r="10" spans="1:55" ht="30.75" thickBot="1" x14ac:dyDescent="0.3">
      <c r="H10" s="114"/>
      <c r="I10" s="14" t="s">
        <v>15</v>
      </c>
      <c r="J10" s="9">
        <v>15</v>
      </c>
      <c r="K10" s="10">
        <v>30</v>
      </c>
      <c r="L10" s="9">
        <v>80</v>
      </c>
      <c r="N10" t="s">
        <v>11</v>
      </c>
      <c r="O10" s="17" t="s">
        <v>30</v>
      </c>
      <c r="P10" t="str">
        <f>CONCATENATE($N$10,O10)</f>
        <v>M01</v>
      </c>
      <c r="AA10">
        <v>5</v>
      </c>
      <c r="AB10">
        <v>0.8</v>
      </c>
      <c r="AC10">
        <f t="shared" si="3"/>
        <v>4.2</v>
      </c>
      <c r="AD10">
        <v>10</v>
      </c>
      <c r="AE10" s="17" t="s">
        <v>61</v>
      </c>
      <c r="AF10">
        <v>2.3090000000000002</v>
      </c>
      <c r="AG10">
        <v>30.75</v>
      </c>
    </row>
    <row r="11" spans="1:55" ht="45.75" thickBot="1" x14ac:dyDescent="0.3">
      <c r="H11" s="115"/>
      <c r="I11" s="14" t="s">
        <v>16</v>
      </c>
      <c r="J11" s="9">
        <v>25</v>
      </c>
      <c r="K11" s="10">
        <v>50</v>
      </c>
      <c r="L11" s="9">
        <v>80</v>
      </c>
      <c r="O11" s="17">
        <v>10</v>
      </c>
      <c r="P11" t="str">
        <f>CONCATENATE($N$10,O11)</f>
        <v>M10</v>
      </c>
      <c r="AA11">
        <v>6</v>
      </c>
      <c r="AB11">
        <v>1</v>
      </c>
      <c r="AC11">
        <f t="shared" si="3"/>
        <v>5</v>
      </c>
      <c r="AD11">
        <v>10</v>
      </c>
      <c r="AE11" s="17" t="s">
        <v>62</v>
      </c>
      <c r="AF11">
        <v>2.3090000000000002</v>
      </c>
      <c r="AG11">
        <v>39.5</v>
      </c>
    </row>
    <row r="12" spans="1:55" ht="75.75" thickBot="1" x14ac:dyDescent="0.3">
      <c r="H12" s="116" t="s">
        <v>17</v>
      </c>
      <c r="I12" s="15" t="s">
        <v>18</v>
      </c>
      <c r="J12" s="9">
        <v>60</v>
      </c>
      <c r="K12" s="10">
        <v>90</v>
      </c>
      <c r="L12" s="9">
        <v>100</v>
      </c>
      <c r="O12" s="17">
        <v>20</v>
      </c>
      <c r="P12" t="str">
        <f>CONCATENATE($N$10,O12)</f>
        <v>M20</v>
      </c>
      <c r="AA12">
        <v>8</v>
      </c>
      <c r="AB12">
        <v>1.25</v>
      </c>
      <c r="AC12">
        <f t="shared" si="3"/>
        <v>6.75</v>
      </c>
      <c r="AD12">
        <v>10</v>
      </c>
      <c r="AE12" s="17" t="s">
        <v>63</v>
      </c>
      <c r="AF12">
        <v>2.3090000000000002</v>
      </c>
      <c r="AG12">
        <v>45.24</v>
      </c>
    </row>
    <row r="13" spans="1:55" ht="90.75" thickBot="1" x14ac:dyDescent="0.3">
      <c r="H13" s="117"/>
      <c r="I13" s="15" t="s">
        <v>19</v>
      </c>
      <c r="J13" s="9">
        <v>60</v>
      </c>
      <c r="K13" s="10">
        <v>90</v>
      </c>
      <c r="L13" s="9">
        <v>100</v>
      </c>
      <c r="O13" s="17">
        <v>30</v>
      </c>
      <c r="P13" t="str">
        <f>CONCATENATE($N$10,O13)</f>
        <v>M30</v>
      </c>
      <c r="AA13">
        <v>10</v>
      </c>
      <c r="AB13">
        <v>1.5</v>
      </c>
      <c r="AC13">
        <f t="shared" si="3"/>
        <v>8.5</v>
      </c>
      <c r="AD13">
        <v>10</v>
      </c>
      <c r="AE13" s="17" t="s">
        <v>64</v>
      </c>
      <c r="AF13">
        <v>2.3090000000000002</v>
      </c>
      <c r="AG13">
        <v>51</v>
      </c>
    </row>
    <row r="14" spans="1:55" ht="60.75" thickBot="1" x14ac:dyDescent="0.3">
      <c r="H14" s="118"/>
      <c r="I14" s="15" t="s">
        <v>20</v>
      </c>
      <c r="J14" s="9">
        <v>40</v>
      </c>
      <c r="K14" s="10">
        <v>60</v>
      </c>
      <c r="L14" s="9">
        <v>100</v>
      </c>
      <c r="O14" s="17">
        <v>40</v>
      </c>
      <c r="P14" t="str">
        <f>CONCATENATE($N$10,O14)</f>
        <v>M40</v>
      </c>
      <c r="AA14">
        <v>12</v>
      </c>
      <c r="AB14">
        <v>1.75</v>
      </c>
      <c r="AC14">
        <f t="shared" si="3"/>
        <v>10.25</v>
      </c>
      <c r="AD14">
        <v>10</v>
      </c>
      <c r="AE14" s="17" t="s">
        <v>65</v>
      </c>
      <c r="AF14">
        <v>2.3090000000000002</v>
      </c>
      <c r="AG14">
        <v>57</v>
      </c>
    </row>
    <row r="15" spans="1:55" ht="15.75" thickBot="1" x14ac:dyDescent="0.3">
      <c r="H15" s="16"/>
      <c r="I15" s="16"/>
      <c r="J15" s="102" t="s">
        <v>21</v>
      </c>
      <c r="K15" s="103"/>
      <c r="L15" s="104"/>
      <c r="N15" t="s">
        <v>13</v>
      </c>
      <c r="O15" s="17" t="s">
        <v>30</v>
      </c>
      <c r="P15" t="str">
        <f>CONCATENATE($N$15,O15)</f>
        <v>K01</v>
      </c>
      <c r="AA15">
        <v>14</v>
      </c>
      <c r="AB15">
        <v>2</v>
      </c>
      <c r="AC15">
        <f t="shared" si="3"/>
        <v>12</v>
      </c>
      <c r="AD15">
        <v>10</v>
      </c>
      <c r="AE15" s="17" t="s">
        <v>66</v>
      </c>
      <c r="AF15">
        <v>2.3090000000000002</v>
      </c>
    </row>
    <row r="16" spans="1:55" x14ac:dyDescent="0.25">
      <c r="O16" s="17">
        <v>10</v>
      </c>
      <c r="P16" t="str">
        <f>CONCATENATE($N$15,O16)</f>
        <v>K10</v>
      </c>
      <c r="AA16">
        <v>16</v>
      </c>
      <c r="AB16">
        <v>2</v>
      </c>
      <c r="AC16">
        <f t="shared" si="3"/>
        <v>14</v>
      </c>
      <c r="AD16">
        <v>10</v>
      </c>
      <c r="AE16" s="17" t="s">
        <v>67</v>
      </c>
      <c r="AF16">
        <v>2.3090000000000002</v>
      </c>
    </row>
    <row r="17" spans="4:32" x14ac:dyDescent="0.25">
      <c r="O17" s="17">
        <v>20</v>
      </c>
      <c r="P17" t="str">
        <f>CONCATENATE($N$15,O17)</f>
        <v>K20</v>
      </c>
      <c r="AA17">
        <v>18</v>
      </c>
      <c r="AB17">
        <v>2.5</v>
      </c>
      <c r="AC17">
        <f t="shared" si="3"/>
        <v>15.5</v>
      </c>
      <c r="AD17">
        <v>10</v>
      </c>
      <c r="AE17" s="17" t="s">
        <v>68</v>
      </c>
      <c r="AF17">
        <v>2.3090000000000002</v>
      </c>
    </row>
    <row r="18" spans="4:32" x14ac:dyDescent="0.25">
      <c r="O18" s="17">
        <v>30</v>
      </c>
      <c r="P18" t="str">
        <f>CONCATENATE($N$15,O18)</f>
        <v>K30</v>
      </c>
      <c r="AA18">
        <v>20</v>
      </c>
      <c r="AB18">
        <v>2.5</v>
      </c>
      <c r="AC18">
        <f t="shared" si="3"/>
        <v>17.5</v>
      </c>
      <c r="AD18">
        <v>10</v>
      </c>
      <c r="AE18" s="17" t="s">
        <v>69</v>
      </c>
      <c r="AF18">
        <v>2.3090000000000002</v>
      </c>
    </row>
    <row r="19" spans="4:32" x14ac:dyDescent="0.25">
      <c r="O19" s="17">
        <v>40</v>
      </c>
      <c r="P19" t="str">
        <f>CONCATENATE($N$15,O19)</f>
        <v>K40</v>
      </c>
      <c r="AA19">
        <v>22</v>
      </c>
      <c r="AB19">
        <v>2.5</v>
      </c>
      <c r="AC19">
        <f t="shared" si="3"/>
        <v>19.5</v>
      </c>
      <c r="AD19">
        <v>10</v>
      </c>
      <c r="AE19" s="17" t="s">
        <v>70</v>
      </c>
      <c r="AF19">
        <v>2.3090000000000002</v>
      </c>
    </row>
    <row r="20" spans="4:32" x14ac:dyDescent="0.25">
      <c r="D20">
        <f>MATCH("Acier Rapide",TypeOutil)</f>
        <v>1</v>
      </c>
      <c r="N20" t="s">
        <v>31</v>
      </c>
      <c r="O20" s="17" t="s">
        <v>30</v>
      </c>
      <c r="P20" t="str">
        <f>CONCATENATE($N$20,O20)</f>
        <v>N01</v>
      </c>
      <c r="AA20">
        <v>24</v>
      </c>
      <c r="AB20">
        <v>3</v>
      </c>
      <c r="AC20">
        <f t="shared" si="3"/>
        <v>21</v>
      </c>
      <c r="AD20">
        <v>10</v>
      </c>
      <c r="AE20" s="17" t="s">
        <v>71</v>
      </c>
      <c r="AF20">
        <v>2.3090000000000002</v>
      </c>
    </row>
    <row r="21" spans="4:32" x14ac:dyDescent="0.25">
      <c r="O21" s="17">
        <v>10</v>
      </c>
      <c r="P21" t="str">
        <f>CONCATENATE($N$20,O21)</f>
        <v>N10</v>
      </c>
      <c r="AA21">
        <v>27</v>
      </c>
      <c r="AB21">
        <v>3</v>
      </c>
      <c r="AC21">
        <f t="shared" si="3"/>
        <v>24</v>
      </c>
      <c r="AD21">
        <v>5</v>
      </c>
      <c r="AE21" s="17" t="s">
        <v>72</v>
      </c>
      <c r="AF21">
        <v>2.3090000000000002</v>
      </c>
    </row>
    <row r="22" spans="4:32" x14ac:dyDescent="0.25">
      <c r="O22" s="17">
        <v>20</v>
      </c>
      <c r="P22" t="str">
        <f>CONCATENATE($N$20,O22)</f>
        <v>N20</v>
      </c>
      <c r="AA22">
        <v>30</v>
      </c>
      <c r="AB22">
        <v>3.5</v>
      </c>
      <c r="AC22">
        <f t="shared" si="3"/>
        <v>26.5</v>
      </c>
      <c r="AD22">
        <v>5</v>
      </c>
      <c r="AE22" s="17" t="s">
        <v>73</v>
      </c>
      <c r="AF22">
        <v>2.3090000000000002</v>
      </c>
    </row>
    <row r="23" spans="4:32" x14ac:dyDescent="0.25">
      <c r="O23" s="17">
        <v>30</v>
      </c>
      <c r="P23" t="str">
        <f>CONCATENATE($N$20,O23)</f>
        <v>N30</v>
      </c>
      <c r="AA23">
        <v>33</v>
      </c>
      <c r="AB23">
        <v>3.5</v>
      </c>
      <c r="AC23">
        <f t="shared" si="3"/>
        <v>29.5</v>
      </c>
      <c r="AD23">
        <v>2</v>
      </c>
      <c r="AE23" s="17" t="s">
        <v>74</v>
      </c>
      <c r="AF23">
        <v>2.3090000000000002</v>
      </c>
    </row>
    <row r="24" spans="4:32" x14ac:dyDescent="0.25">
      <c r="N24" t="s">
        <v>32</v>
      </c>
      <c r="O24" s="17" t="s">
        <v>30</v>
      </c>
      <c r="P24" t="str">
        <f>CONCATENATE($N$24,O24)</f>
        <v>S01</v>
      </c>
      <c r="AA24">
        <v>36</v>
      </c>
      <c r="AB24">
        <v>4</v>
      </c>
      <c r="AC24">
        <f t="shared" si="3"/>
        <v>32</v>
      </c>
      <c r="AD24">
        <v>2</v>
      </c>
      <c r="AE24" s="17" t="s">
        <v>75</v>
      </c>
      <c r="AF24">
        <v>2.3090000000000002</v>
      </c>
    </row>
    <row r="25" spans="4:32" x14ac:dyDescent="0.25">
      <c r="O25" s="17">
        <v>10</v>
      </c>
      <c r="P25" t="str">
        <f>CONCATENATE($N$24,O25)</f>
        <v>S10</v>
      </c>
      <c r="AA25">
        <v>39</v>
      </c>
      <c r="AB25">
        <v>4</v>
      </c>
      <c r="AC25">
        <f t="shared" si="3"/>
        <v>35</v>
      </c>
      <c r="AD25">
        <v>2</v>
      </c>
    </row>
    <row r="26" spans="4:32" x14ac:dyDescent="0.25">
      <c r="O26" s="17">
        <v>20</v>
      </c>
      <c r="P26" t="str">
        <f>CONCATENATE($N$24,O26)</f>
        <v>S20</v>
      </c>
      <c r="AA26">
        <v>42</v>
      </c>
      <c r="AB26">
        <v>4.5</v>
      </c>
      <c r="AC26">
        <f t="shared" si="3"/>
        <v>37.5</v>
      </c>
      <c r="AD26">
        <v>2</v>
      </c>
    </row>
    <row r="27" spans="4:32" x14ac:dyDescent="0.25">
      <c r="O27" s="17">
        <v>30</v>
      </c>
      <c r="P27" t="str">
        <f>CONCATENATE($N$24,O27)</f>
        <v>S30</v>
      </c>
      <c r="AA27">
        <v>45</v>
      </c>
      <c r="AB27">
        <v>4.5</v>
      </c>
      <c r="AC27">
        <f t="shared" si="3"/>
        <v>40.5</v>
      </c>
      <c r="AD27">
        <v>2</v>
      </c>
      <c r="AE27" s="17"/>
    </row>
    <row r="28" spans="4:32" x14ac:dyDescent="0.25">
      <c r="N28" t="s">
        <v>33</v>
      </c>
      <c r="O28" s="17" t="s">
        <v>30</v>
      </c>
      <c r="P28" t="str">
        <f>CONCATENATE($N$28,O28)</f>
        <v>H01</v>
      </c>
      <c r="AA28">
        <v>48</v>
      </c>
      <c r="AB28">
        <v>5</v>
      </c>
      <c r="AC28">
        <f t="shared" si="3"/>
        <v>43</v>
      </c>
      <c r="AD28">
        <v>2</v>
      </c>
      <c r="AE28" s="17"/>
    </row>
    <row r="29" spans="4:32" x14ac:dyDescent="0.25">
      <c r="O29" s="17">
        <v>10</v>
      </c>
      <c r="P29" t="str">
        <f>CONCATENATE($N$28,O29)</f>
        <v>H10</v>
      </c>
      <c r="AA29">
        <v>52</v>
      </c>
      <c r="AB29">
        <v>5</v>
      </c>
      <c r="AC29">
        <f t="shared" si="3"/>
        <v>47</v>
      </c>
      <c r="AD29">
        <v>2</v>
      </c>
      <c r="AE29" s="17"/>
    </row>
    <row r="30" spans="4:32" x14ac:dyDescent="0.25">
      <c r="O30" s="17">
        <v>20</v>
      </c>
      <c r="P30" t="str">
        <f>CONCATENATE($N$28,O30)</f>
        <v>H20</v>
      </c>
      <c r="AA30">
        <v>56</v>
      </c>
      <c r="AB30">
        <v>5.5</v>
      </c>
      <c r="AC30">
        <f t="shared" si="3"/>
        <v>50.5</v>
      </c>
      <c r="AD30">
        <v>2</v>
      </c>
      <c r="AE30" s="17"/>
    </row>
    <row r="31" spans="4:32" x14ac:dyDescent="0.25">
      <c r="O31" s="17">
        <v>30</v>
      </c>
      <c r="P31" t="str">
        <f>CONCATENATE($N$28,O31)</f>
        <v>H30</v>
      </c>
      <c r="AA31">
        <v>60</v>
      </c>
      <c r="AB31">
        <v>5.5</v>
      </c>
      <c r="AC31">
        <f t="shared" si="3"/>
        <v>54.5</v>
      </c>
      <c r="AD31">
        <v>2</v>
      </c>
      <c r="AE31" s="17"/>
    </row>
    <row r="32" spans="4:32" x14ac:dyDescent="0.25">
      <c r="AA32">
        <v>64</v>
      </c>
      <c r="AB32">
        <v>6</v>
      </c>
      <c r="AC32">
        <f t="shared" si="3"/>
        <v>58</v>
      </c>
      <c r="AD32">
        <v>2</v>
      </c>
      <c r="AE32" s="17"/>
    </row>
  </sheetData>
  <sortState ref="A4:A9">
    <sortCondition ref="A3:A8"/>
  </sortState>
  <mergeCells count="15">
    <mergeCell ref="AU1:AX1"/>
    <mergeCell ref="AO1:AS1"/>
    <mergeCell ref="H1:L1"/>
    <mergeCell ref="AZ1:BC1"/>
    <mergeCell ref="R1:T1"/>
    <mergeCell ref="AA1:AG1"/>
    <mergeCell ref="N1:P1"/>
    <mergeCell ref="AI1:AM1"/>
    <mergeCell ref="V1:Y1"/>
    <mergeCell ref="J15:L15"/>
    <mergeCell ref="H2:H3"/>
    <mergeCell ref="J2:L2"/>
    <mergeCell ref="H4:H7"/>
    <mergeCell ref="H9:H11"/>
    <mergeCell ref="H12:H14"/>
  </mergeCells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O13"/>
  <sheetViews>
    <sheetView workbookViewId="0">
      <selection activeCell="J3" sqref="J3"/>
    </sheetView>
  </sheetViews>
  <sheetFormatPr baseColWidth="10" defaultRowHeight="15" x14ac:dyDescent="0.25"/>
  <cols>
    <col min="1" max="16384" width="11.42578125" style="24"/>
  </cols>
  <sheetData>
    <row r="1" spans="1:15" ht="19.5" thickBot="1" x14ac:dyDescent="0.35">
      <c r="A1" s="121" t="s">
        <v>124</v>
      </c>
      <c r="B1" s="121"/>
      <c r="C1" s="121"/>
      <c r="D1" s="121"/>
      <c r="E1" s="121"/>
      <c r="F1" s="121"/>
      <c r="G1" s="121"/>
      <c r="J1" s="36" t="s">
        <v>125</v>
      </c>
      <c r="K1" s="36" t="s">
        <v>126</v>
      </c>
    </row>
    <row r="2" spans="1:15" ht="15.75" thickBot="1" x14ac:dyDescent="0.3">
      <c r="A2" s="37" t="s">
        <v>127</v>
      </c>
      <c r="B2" s="122">
        <v>499</v>
      </c>
      <c r="C2" s="124">
        <v>999</v>
      </c>
      <c r="D2" s="124">
        <v>1499</v>
      </c>
      <c r="E2" s="124">
        <v>1999</v>
      </c>
      <c r="F2" s="124">
        <v>3999</v>
      </c>
      <c r="G2" s="126">
        <v>8000</v>
      </c>
      <c r="J2" s="24">
        <f>'Calcul Sequence'!G2</f>
        <v>300</v>
      </c>
      <c r="K2" s="24">
        <f>'Calcul Sequence'!G1</f>
        <v>3.5</v>
      </c>
    </row>
    <row r="3" spans="1:15" ht="15.75" thickBot="1" x14ac:dyDescent="0.3">
      <c r="A3" s="38" t="s">
        <v>128</v>
      </c>
      <c r="B3" s="123"/>
      <c r="C3" s="125"/>
      <c r="D3" s="125"/>
      <c r="E3" s="125"/>
      <c r="F3" s="125"/>
      <c r="G3" s="127"/>
      <c r="J3" s="24" t="e">
        <f>HLOOKUP(J2,B2:G2,1)</f>
        <v>#N/A</v>
      </c>
      <c r="K3" s="24">
        <f>VLOOKUP(K2,A4:A13,1)</f>
        <v>1</v>
      </c>
      <c r="L3" s="24" t="s">
        <v>129</v>
      </c>
      <c r="O3" s="24">
        <f>2.2/0.036</f>
        <v>61.111111111111121</v>
      </c>
    </row>
    <row r="4" spans="1:15" x14ac:dyDescent="0.25">
      <c r="A4" s="39">
        <v>1</v>
      </c>
      <c r="B4" s="40">
        <v>0.03</v>
      </c>
      <c r="C4" s="41">
        <v>0</v>
      </c>
      <c r="D4" s="41">
        <v>0</v>
      </c>
      <c r="E4" s="41">
        <v>0</v>
      </c>
      <c r="F4" s="41">
        <v>0</v>
      </c>
      <c r="G4" s="41">
        <v>0</v>
      </c>
      <c r="J4" s="24" t="e">
        <f>MATCH(J3,B2:G2)+1</f>
        <v>#N/A</v>
      </c>
      <c r="K4" s="24">
        <f>MATCH(K3,A4:A13,1)+1</f>
        <v>2</v>
      </c>
      <c r="L4" s="24" t="s">
        <v>130</v>
      </c>
    </row>
    <row r="5" spans="1:15" x14ac:dyDescent="0.25">
      <c r="A5" s="42">
        <v>5</v>
      </c>
      <c r="B5" s="40">
        <v>0.05</v>
      </c>
      <c r="C5" s="41">
        <v>0.06</v>
      </c>
      <c r="D5" s="41">
        <v>0</v>
      </c>
      <c r="E5" s="41">
        <v>0</v>
      </c>
      <c r="F5" s="41">
        <v>0</v>
      </c>
      <c r="G5" s="41">
        <v>0</v>
      </c>
    </row>
    <row r="6" spans="1:15" x14ac:dyDescent="0.25">
      <c r="A6" s="43">
        <v>10</v>
      </c>
      <c r="B6" s="40">
        <v>0.08</v>
      </c>
      <c r="C6" s="41">
        <v>0.15</v>
      </c>
      <c r="D6" s="41">
        <v>0.35</v>
      </c>
      <c r="E6" s="41">
        <v>0</v>
      </c>
      <c r="F6" s="41">
        <v>0</v>
      </c>
      <c r="G6" s="41">
        <v>0</v>
      </c>
      <c r="J6" s="24" t="e">
        <f>INDEX(B4:G13,K4,J4)</f>
        <v>#N/A</v>
      </c>
      <c r="K6" s="24">
        <f>IF(ISNA(J6),0, ROUNDUP( J6/0.036,0))</f>
        <v>0</v>
      </c>
      <c r="L6" s="24" t="s">
        <v>131</v>
      </c>
    </row>
    <row r="7" spans="1:15" x14ac:dyDescent="0.25">
      <c r="A7" s="43">
        <v>15</v>
      </c>
      <c r="B7" s="40">
        <v>0.1</v>
      </c>
      <c r="C7" s="41">
        <v>0.35</v>
      </c>
      <c r="D7" s="41">
        <v>0.42</v>
      </c>
      <c r="E7" s="41">
        <v>0.5</v>
      </c>
      <c r="F7" s="41">
        <v>0</v>
      </c>
      <c r="G7" s="41">
        <v>0</v>
      </c>
      <c r="K7" s="24">
        <f>IF(OR(J2&gt;1000,K2&gt;=20),ROUNDUP(K6*1.5,0),1)</f>
        <v>1</v>
      </c>
      <c r="L7" s="24" t="s">
        <v>132</v>
      </c>
    </row>
    <row r="8" spans="1:15" x14ac:dyDescent="0.25">
      <c r="A8" s="43">
        <v>20</v>
      </c>
      <c r="B8" s="40">
        <v>0.1</v>
      </c>
      <c r="C8" s="41">
        <v>0.5</v>
      </c>
      <c r="D8" s="41">
        <v>0.5</v>
      </c>
      <c r="E8" s="41">
        <v>0.92</v>
      </c>
      <c r="F8" s="41">
        <v>0.92</v>
      </c>
      <c r="G8" s="41">
        <v>0</v>
      </c>
    </row>
    <row r="9" spans="1:15" x14ac:dyDescent="0.25">
      <c r="A9" s="39">
        <v>80</v>
      </c>
      <c r="B9" s="44">
        <v>0.75</v>
      </c>
      <c r="C9" s="45">
        <v>0.75</v>
      </c>
      <c r="D9" s="45">
        <v>1</v>
      </c>
      <c r="E9" s="45">
        <v>1</v>
      </c>
      <c r="F9" s="45">
        <v>2.2000000000000002</v>
      </c>
      <c r="G9" s="46">
        <v>3</v>
      </c>
    </row>
    <row r="10" spans="1:15" x14ac:dyDescent="0.25">
      <c r="A10" s="39">
        <v>250</v>
      </c>
      <c r="B10" s="47">
        <v>1</v>
      </c>
      <c r="C10" s="45">
        <v>1</v>
      </c>
      <c r="D10" s="45">
        <v>1.5</v>
      </c>
      <c r="E10" s="45">
        <v>1.5</v>
      </c>
      <c r="F10" s="45">
        <v>2</v>
      </c>
      <c r="G10" s="46">
        <v>3</v>
      </c>
      <c r="J10" s="24">
        <f>K2</f>
        <v>3.5</v>
      </c>
      <c r="K10" s="24">
        <f>ROUNDUP(-0.0019*J10+1.03*J10+0.2414,0)</f>
        <v>4</v>
      </c>
      <c r="L10" s="24">
        <f>K10*0.036</f>
        <v>0.14399999999999999</v>
      </c>
    </row>
    <row r="11" spans="1:15" x14ac:dyDescent="0.25">
      <c r="A11" s="39">
        <v>500</v>
      </c>
      <c r="B11" s="47">
        <v>1</v>
      </c>
      <c r="C11" s="47">
        <v>1</v>
      </c>
      <c r="D11" s="45">
        <v>2</v>
      </c>
      <c r="E11" s="45">
        <v>2.5</v>
      </c>
      <c r="F11" s="46">
        <v>3</v>
      </c>
      <c r="G11" s="46">
        <v>4</v>
      </c>
      <c r="K11" s="24">
        <f>IF(OR(J2&gt;1000,K10&gt;=20),ROUNDUP(J10*0.8,0),1)</f>
        <v>1</v>
      </c>
    </row>
    <row r="12" spans="1:15" x14ac:dyDescent="0.25">
      <c r="A12" s="39">
        <v>1000</v>
      </c>
      <c r="B12" s="47">
        <v>2</v>
      </c>
      <c r="C12" s="46">
        <v>2.5</v>
      </c>
      <c r="D12" s="46">
        <v>2.5</v>
      </c>
      <c r="E12" s="46">
        <v>3</v>
      </c>
      <c r="F12" s="46">
        <v>4</v>
      </c>
      <c r="G12" s="46">
        <v>4</v>
      </c>
    </row>
    <row r="13" spans="1:15" ht="15.75" thickBot="1" x14ac:dyDescent="0.3">
      <c r="A13" s="48">
        <v>3000</v>
      </c>
      <c r="B13" s="46">
        <v>4</v>
      </c>
      <c r="C13" s="46">
        <v>4</v>
      </c>
      <c r="D13" s="46">
        <v>4</v>
      </c>
      <c r="E13" s="46">
        <v>4</v>
      </c>
      <c r="F13" s="46">
        <v>5</v>
      </c>
      <c r="G13" s="46">
        <v>5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21</vt:i4>
      </vt:variant>
    </vt:vector>
  </HeadingPairs>
  <TitlesOfParts>
    <vt:vector size="25" baseType="lpstr">
      <vt:lpstr>Calcul Sequence</vt:lpstr>
      <vt:lpstr>Calcul Temps Technique</vt:lpstr>
      <vt:lpstr>Abaques</vt:lpstr>
      <vt:lpstr>Manutention</vt:lpstr>
      <vt:lpstr>Alesage</vt:lpstr>
      <vt:lpstr>AlesageExt</vt:lpstr>
      <vt:lpstr>calcul_operation</vt:lpstr>
      <vt:lpstr>CalculEpaisseur</vt:lpstr>
      <vt:lpstr>Chanfreinage</vt:lpstr>
      <vt:lpstr>ChanfreinageExt</vt:lpstr>
      <vt:lpstr>Contournage</vt:lpstr>
      <vt:lpstr>ContournageExt</vt:lpstr>
      <vt:lpstr>FiletageGaz</vt:lpstr>
      <vt:lpstr>FiletageGazExt</vt:lpstr>
      <vt:lpstr>FiletageMetrique</vt:lpstr>
      <vt:lpstr>FiletageMetriqueExt</vt:lpstr>
      <vt:lpstr>Matieres</vt:lpstr>
      <vt:lpstr>MatieresExt</vt:lpstr>
      <vt:lpstr>Operations</vt:lpstr>
      <vt:lpstr>Percage</vt:lpstr>
      <vt:lpstr>PercageExt</vt:lpstr>
      <vt:lpstr>Surfacage</vt:lpstr>
      <vt:lpstr>SurfacageExt</vt:lpstr>
      <vt:lpstr>TypeOutil</vt:lpstr>
      <vt:lpstr>'Calcul Sequence'!Zone_d_impression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2014-11-05T15:39:14Z</cp:lastPrinted>
  <dcterms:created xsi:type="dcterms:W3CDTF">2014-11-03T07:49:22Z</dcterms:created>
  <dcterms:modified xsi:type="dcterms:W3CDTF">2014-11-07T09:35:29Z</dcterms:modified>
</cp:coreProperties>
</file>