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5" i="1" l="1"/>
  <c r="L15" i="1"/>
  <c r="K15" i="1"/>
  <c r="J15" i="1"/>
  <c r="I15" i="1"/>
  <c r="H15" i="1"/>
  <c r="M14" i="1"/>
  <c r="L14" i="1"/>
  <c r="K14" i="1"/>
  <c r="J14" i="1"/>
  <c r="I14" i="1"/>
  <c r="H14" i="1"/>
  <c r="M13" i="1"/>
  <c r="L13" i="1"/>
  <c r="K13" i="1"/>
  <c r="I13" i="1"/>
  <c r="H13" i="1"/>
  <c r="B13" i="1"/>
  <c r="M12" i="1"/>
  <c r="L12" i="1"/>
  <c r="K12" i="1"/>
  <c r="J12" i="1"/>
  <c r="I12" i="1"/>
  <c r="H12" i="1"/>
  <c r="M11" i="1"/>
  <c r="L11" i="1"/>
  <c r="K11" i="1"/>
  <c r="I11" i="1"/>
  <c r="H11" i="1"/>
  <c r="B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<sst xmlns="http://schemas.openxmlformats.org/spreadsheetml/2006/main" count="214" uniqueCount="157">
  <si>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</si>
  <si>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</si>
  <si>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</si>
  <si>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</si>
  <si>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</si>
  <si>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</si>
  <si>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</si>
  <si>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</si>
  <si>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</si>
  <si>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</si>
  <si>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</si>
  <si>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</si>
  <si>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</si>
  <si>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</si>
  <si>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</si>
  <si>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</si>
  <si>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</si>
  <si>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</si>
  <si>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</si>
  <si>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</si>
  <si>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</si>
  <si>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</si>
  <si>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</si>
  <si>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</si>
  <si>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</si>
  <si>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</si>
  <si>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</si>
  <si>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</si>
  <si>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</si>
  <si>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</si>
  <si>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</si>
  <si>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</si>
  <si>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</si>
  <si>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</si>
  <si>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</si>
  <si>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</si>
  <si>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</si>
  <si>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</si>
  <si>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</si>
  <si>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</si>
  <si>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</si>
  <si>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</si>
  <si>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</si>
  <si>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</si>
  <si>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</si>
  <si>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</si>
  <si>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</si>
  <si>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</si>
  <si>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</si>
  <si>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</si>
  <si>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</si>
  <si>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</si>
  <si>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</si>
  <si>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</si>
  <si>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</si>
  <si>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</si>
  <si>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</si>
  <si>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</si>
  <si>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</si>
  <si>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</si>
  <si>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</si>
  <si>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</si>
  <si>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</si>
  <si>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</si>
  <si>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</si>
  <si>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</si>
  <si>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</si>
  <si>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</si>
  <si>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</si>
  <si>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</si>
  <si>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</si>
  <si>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</si>
  <si>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</si>
  <si>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</si>
  <si>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</si>
  <si>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</si>
  <si>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</si>
  <si>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</si>
  <si>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</si>
  <si>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</si>
  <si>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</si>
  <si>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</si>
  <si>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</si>
  <si>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</si>
  <si>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</si>
  <si>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</si>
  <si>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</si>
  <si>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</si>
  <si>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</si>
  <si>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</si>
  <si>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</si>
  <si>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</si>
  <si>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</si>
  <si>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</si>
  <si>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</si>
  <si>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</si>
  <si>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</si>
  <si>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</si>
  <si>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</si>
  <si>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</si>
  <si>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</si>
  <si>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</si>
  <si>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</si>
  <si>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</si>
  <si>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</si>
  <si>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</si>
  <si>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</si>
  <si>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</si>
  <si>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</si>
  <si>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</si>
  <si>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</si>
  <si>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</si>
  <si>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</si>
  <si>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</si>
  <si>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</si>
  <si>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</si>
  <si>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</si>
  <si>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</si>
  <si>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</si>
  <si>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</si>
  <si>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</si>
  <si>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</si>
  <si>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</si>
  <si>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</si>
  <si>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</si>
  <si>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</si>
  <si>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</si>
  <si>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</si>
  <si>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</si>
  <si>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</si>
  <si>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</si>
  <si>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</si>
  <si>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</si>
  <si>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</si>
  <si>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</si>
  <si>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</si>
  <si>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</si>
  <si>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</si>
  <si>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</si>
  <si>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</si>
  <si>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</si>
  <si>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</si>
  <si>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</si>
  <si>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</si>
  <si>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</si>
  <si>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</si>
  <si>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</si>
  <si>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</si>
  <si>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</si>
  <si>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</si>
  <si>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</si>
  <si>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</si>
  <si>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</si>
  <si>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</si>
  <si>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x</t>
  </si>
  <si>
    <t>Pendulaire</t>
  </si>
  <si>
    <t>309355A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</si>
</sst>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M#.00"/>
    <numFmt numFmtId="168" formatCode="#\ ##0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5"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C9" sqref="C9:G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2" t="str">
        <f>'Calcul Temps Technique'!D3</f>
        <v>309355A</v>
      </c>
      <c r="C1" s="88" t="s">
        <v>102</v>
      </c>
      <c r="D1" s="88"/>
      <c r="E1" s="88"/>
      <c r="F1" s="88"/>
      <c r="G1" s="92">
        <v>69</v>
      </c>
      <c r="H1" s="93"/>
      <c r="I1" s="93"/>
      <c r="J1" s="94"/>
      <c r="K1" s="28"/>
      <c r="L1" s="81" t="s">
        <v>145</v>
      </c>
      <c r="M1" s="81"/>
      <c r="N1" s="81"/>
      <c r="O1" s="81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3"/>
      <c r="C2" s="88" t="s">
        <v>104</v>
      </c>
      <c r="D2" s="88"/>
      <c r="E2" s="88"/>
      <c r="F2" s="88"/>
      <c r="G2" s="89">
        <v>1728</v>
      </c>
      <c r="H2" s="90"/>
      <c r="I2" s="90"/>
      <c r="J2" s="91"/>
      <c r="K2" s="28"/>
      <c r="L2" s="64" t="s">
        <v>103</v>
      </c>
      <c r="M2" s="64"/>
      <c r="N2" s="64"/>
      <c r="O2" s="25">
        <f>SUM(O21:O32)</f>
        <v>433.47305207556042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7.2245508679260073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8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5">
        <f>'Calcul Temps Technique'!D4</f>
        <v>12</v>
      </c>
      <c r="D5" s="95"/>
      <c r="E5" s="95"/>
      <c r="F5" s="95"/>
      <c r="G5" s="95"/>
      <c r="H5" s="28"/>
      <c r="I5" s="28"/>
      <c r="J5" s="28"/>
      <c r="K5" s="28"/>
      <c r="L5" s="81" t="s">
        <v>146</v>
      </c>
      <c r="M5" s="81"/>
      <c r="N5" s="81"/>
      <c r="O5" s="81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5">
        <f>'Calcul Temps Technique'!D5</f>
        <v>1</v>
      </c>
      <c r="D6" s="95"/>
      <c r="E6" s="95"/>
      <c r="F6" s="95"/>
      <c r="G6" s="95"/>
      <c r="H6" s="31"/>
      <c r="I6" s="28"/>
      <c r="J6" s="28"/>
      <c r="K6" s="28"/>
      <c r="L6" s="64" t="s">
        <v>103</v>
      </c>
      <c r="M6" s="64"/>
      <c r="N6" s="64"/>
      <c r="O6" s="25">
        <f>O26</f>
        <v>180.03305207556039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92">
        <v>2</v>
      </c>
      <c r="D7" s="93"/>
      <c r="E7" s="93"/>
      <c r="F7" s="93"/>
      <c r="G7" s="94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253.44000000000003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9">
        <v>8</v>
      </c>
      <c r="D8" s="90"/>
      <c r="E8" s="90"/>
      <c r="F8" s="90"/>
      <c r="G8" s="91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3.0005508679260067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155</v>
      </c>
      <c r="C9" s="89" t="b">
        <v>0</v>
      </c>
      <c r="D9" s="90"/>
      <c r="E9" s="90"/>
      <c r="F9" s="90"/>
      <c r="G9" s="91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19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6" t="s">
        <v>137</v>
      </c>
      <c r="D19" s="84"/>
      <c r="E19" s="84"/>
      <c r="F19" s="84" t="s">
        <v>107</v>
      </c>
      <c r="G19" s="84"/>
      <c r="H19" s="84"/>
      <c r="I19" s="84" t="s">
        <v>108</v>
      </c>
      <c r="J19" s="84"/>
      <c r="K19" s="52" t="s">
        <v>109</v>
      </c>
      <c r="L19" s="52" t="s">
        <v>110</v>
      </c>
      <c r="M19" s="53" t="s">
        <v>111</v>
      </c>
      <c r="N19" s="84" t="s">
        <v>52</v>
      </c>
      <c r="O19" s="85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6" t="s">
        <v>11</v>
      </c>
      <c r="J20" s="86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72</v>
      </c>
      <c r="F21" s="33">
        <f>Manutention!$K$11</f>
        <v>56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1</v>
      </c>
      <c r="N21" s="50">
        <f>IF(ISBLANK(L21),(C21+D21+E21+F21+G21+H21+I21+K21)*10,L21/0.036)*IF(ISBLANK(M21),1,M21)</f>
        <v>1390</v>
      </c>
      <c r="O21" s="56">
        <f>N21*0.036</f>
        <v>50.04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180.03305207556039</v>
      </c>
      <c r="M26" s="33">
        <v>1</v>
      </c>
      <c r="N26" s="50">
        <f t="shared" si="1"/>
        <v>5000.9181132100111</v>
      </c>
      <c r="O26" s="56">
        <f t="shared" si="2"/>
        <v>180.03305207556039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72</v>
      </c>
      <c r="F30" s="33">
        <f t="shared" si="4"/>
        <v>56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1</v>
      </c>
      <c r="N30" s="50">
        <f t="shared" si="1"/>
        <v>1390</v>
      </c>
      <c r="O30" s="56">
        <f t="shared" si="2"/>
        <v>50.04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72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1</v>
      </c>
      <c r="N31" s="50">
        <f t="shared" si="1"/>
        <v>850</v>
      </c>
      <c r="O31" s="56">
        <f t="shared" si="2"/>
        <v>30.599999999999998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0"/>
      <c r="J32" s="80"/>
      <c r="K32" s="34"/>
      <c r="L32" s="34"/>
      <c r="M32" s="34">
        <f>$C$8</f>
        <v>8</v>
      </c>
      <c r="N32" s="57">
        <f t="shared" si="1"/>
        <v>1600</v>
      </c>
      <c r="O32" s="58">
        <f t="shared" si="2"/>
        <v>57.599999999999994</v>
      </c>
    </row>
  </sheetData>
  <mergeCells count="29">
    <mergeCell ref="C5:G5"/>
    <mergeCell ref="C19:E19"/>
    <mergeCell ref="F19:H19"/>
    <mergeCell ref="I19:J19"/>
    <mergeCell ref="C6:G6"/>
    <mergeCell ref="C7:G7"/>
    <mergeCell ref="C8:G8"/>
    <mergeCell ref="C9:G9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conditionalFormatting sqref="L5:O9">
    <cfRule type="expression" dxfId="4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5" sqref="C15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4" t="s">
        <v>99</v>
      </c>
      <c r="K2" s="74" t="s">
        <v>101</v>
      </c>
      <c r="L2" s="74" t="s">
        <v>151</v>
      </c>
    </row>
    <row r="3" spans="1:17" ht="21.75" thickBot="1" x14ac:dyDescent="0.4">
      <c r="C3" s="64" t="s">
        <v>153</v>
      </c>
      <c r="D3" s="76" t="s">
        <v>156</v>
      </c>
      <c r="E3" s="20"/>
      <c r="H3" s="64" t="s">
        <v>94</v>
      </c>
      <c r="I3" s="64"/>
      <c r="J3" s="25">
        <f>SUMIF(N11:N18,"x",M11:M18)</f>
        <v>95.033052075560391</v>
      </c>
      <c r="K3" s="25">
        <f>D5*J3</f>
        <v>95.033052075560391</v>
      </c>
      <c r="L3" s="25">
        <f>K3/$D$5</f>
        <v>95.033052075560391</v>
      </c>
      <c r="N3" s="21"/>
      <c r="O3" s="21"/>
    </row>
    <row r="4" spans="1:17" ht="21" x14ac:dyDescent="0.35">
      <c r="C4" s="64" t="s">
        <v>51</v>
      </c>
      <c r="D4" s="69">
        <v>12</v>
      </c>
      <c r="H4" s="64" t="s">
        <v>95</v>
      </c>
      <c r="I4" s="64"/>
      <c r="J4" s="25">
        <f>17*COUNTIF(N11:N81,"x")</f>
        <v>85</v>
      </c>
      <c r="K4" s="25">
        <f>J4</f>
        <v>85</v>
      </c>
      <c r="L4" s="25">
        <f t="shared" ref="L4:L7" si="0">K4/$D$5</f>
        <v>85</v>
      </c>
    </row>
    <row r="5" spans="1:17" ht="21.75" thickBot="1" x14ac:dyDescent="0.4">
      <c r="C5" s="64" t="s">
        <v>100</v>
      </c>
      <c r="D5" s="67">
        <v>1</v>
      </c>
      <c r="H5" s="64" t="s">
        <v>96</v>
      </c>
      <c r="I5" s="64"/>
      <c r="J5" s="25">
        <f>J4+J3</f>
        <v>180.03305207556039</v>
      </c>
      <c r="K5" s="25">
        <f>J4+K3</f>
        <v>180.03305207556039</v>
      </c>
      <c r="L5" s="25">
        <f t="shared" si="0"/>
        <v>180.03305207556039</v>
      </c>
    </row>
    <row r="6" spans="1:17" ht="18.75" x14ac:dyDescent="0.3">
      <c r="H6" s="64"/>
      <c r="I6" s="64"/>
      <c r="J6" s="25">
        <f>CONVERT(J5,"sec","mn")</f>
        <v>3.0005508679260067</v>
      </c>
      <c r="K6" s="25">
        <f>CONVERT(K5,"sec","mn")</f>
        <v>3.0005508679260067</v>
      </c>
      <c r="L6" s="25">
        <f t="shared" si="0"/>
        <v>3.0005508679260067</v>
      </c>
    </row>
    <row r="7" spans="1:17" ht="18.75" x14ac:dyDescent="0.3">
      <c r="H7" s="64"/>
      <c r="I7" s="64"/>
      <c r="J7" s="75">
        <f>J6/24</f>
        <v>0.12502295283025028</v>
      </c>
      <c r="K7" s="75">
        <f>K6/24</f>
        <v>0.12502295283025028</v>
      </c>
      <c r="L7" s="75">
        <f t="shared" si="0"/>
        <v>0.12502295283025028</v>
      </c>
    </row>
    <row r="8" spans="1:17" ht="15.75" thickBot="1" x14ac:dyDescent="0.3"/>
    <row r="9" spans="1:17" ht="18.75" x14ac:dyDescent="0.3">
      <c r="C9" s="99" t="s">
        <v>39</v>
      </c>
      <c r="D9" s="101" t="s">
        <v>40</v>
      </c>
      <c r="E9" s="103" t="s">
        <v>149</v>
      </c>
      <c r="F9" s="103" t="s">
        <v>150</v>
      </c>
      <c r="G9" s="101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7" t="s">
        <v>98</v>
      </c>
    </row>
    <row r="10" spans="1:17" ht="19.5" thickBot="1" x14ac:dyDescent="0.35">
      <c r="C10" s="100"/>
      <c r="D10" s="102"/>
      <c r="E10" s="102"/>
      <c r="F10" s="102"/>
      <c r="G10" s="102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8"/>
    </row>
    <row r="11" spans="1:17" s="68" customFormat="1" x14ac:dyDescent="0.25">
      <c r="A11"/>
      <c r="B11">
        <f>VLOOKUP($D$11,FiletageMetriqueExt,3,FALSE)</f>
        <v>5</v>
      </c>
      <c r="C11" t="s">
        <v>23</v>
      </c>
      <c r="D11" s="77">
        <v>6</v>
      </c>
      <c r="E11">
        <v>12</v>
      </c>
      <c r="F11">
        <v>5</v>
      </c>
      <c r="G11"/>
      <c r="H11">
        <f>VLOOKUP($D$11,FiletageMetriqueExt,4,FALSE)</f>
        <v>10</v>
      </c>
      <c r="I11">
        <f>VLOOKUP($D$11,FiletageMetriqueExt,2,FALSE)</f>
        <v>1</v>
      </c>
      <c r="J11">
        <v>1</v>
      </c>
      <c r="K11">
        <f>ROUNDDOWN((1000*$H$11)/(PI()*$B$11),0)</f>
        <v>636</v>
      </c>
      <c r="L11">
        <f>ROUNDDOWN(I11*J11*K11,0)</f>
        <v>636</v>
      </c>
      <c r="M11" s="78">
        <f>((E11*1.33/L11)*F11+F11*0.08)*60</f>
        <v>31.528301886792455</v>
      </c>
      <c r="N11" t="s">
        <v>154</v>
      </c>
      <c r="O11" s="70"/>
    </row>
    <row r="12" spans="1:17" s="68" customFormat="1" x14ac:dyDescent="0.25">
      <c r="A12"/>
      <c r="B12">
        <v>5</v>
      </c>
      <c r="C12" t="s">
        <v>22</v>
      </c>
      <c r="D12" s="79">
        <v>5</v>
      </c>
      <c r="E12">
        <v>12</v>
      </c>
      <c r="F12">
        <v>5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5729</v>
      </c>
      <c r="L12">
        <f>ROUNDDOWN(I12*J12*K12,0)</f>
        <v>572</v>
      </c>
      <c r="M12" s="78">
        <f>((E12*1.33/L12)*F12+F12*0.08)*60</f>
        <v>32.370629370629374</v>
      </c>
      <c r="N12" t="s">
        <v>154</v>
      </c>
    </row>
    <row r="13" spans="1:17" s="68" customFormat="1" x14ac:dyDescent="0.25">
      <c r="A13"/>
      <c r="B13">
        <f>VLOOKUP($D$13,FiletageMetriqueExt,3,FALSE)</f>
        <v>6.75</v>
      </c>
      <c r="C13" t="s">
        <v>23</v>
      </c>
      <c r="D13" s="77">
        <v>8</v>
      </c>
      <c r="E13">
        <v>12</v>
      </c>
      <c r="F13">
        <v>1</v>
      </c>
      <c r="G13"/>
      <c r="H13">
        <f>VLOOKUP($D$13,FiletageMetriqueExt,4,FALSE)</f>
        <v>10</v>
      </c>
      <c r="I13">
        <f>VLOOKUP($D$13,FiletageMetriqueExt,2,FALSE)</f>
        <v>1.25</v>
      </c>
      <c r="J13">
        <v>1</v>
      </c>
      <c r="K13">
        <f>ROUNDDOWN((1000*$H$13)/(PI()*$B$13),0)</f>
        <v>471</v>
      </c>
      <c r="L13">
        <f>ROUNDDOWN(I13*J13*K13,0)</f>
        <v>588</v>
      </c>
      <c r="M13" s="78">
        <f>((E13*1.33/L13)*F13+F13*0.08)*60</f>
        <v>6.4285714285714288</v>
      </c>
      <c r="N13" t="s">
        <v>154</v>
      </c>
      <c r="Q13" s="71"/>
    </row>
    <row r="14" spans="1:17" s="68" customFormat="1" x14ac:dyDescent="0.25">
      <c r="A14"/>
      <c r="B14">
        <v>6.75</v>
      </c>
      <c r="C14" t="s">
        <v>22</v>
      </c>
      <c r="D14" s="79">
        <v>6.75</v>
      </c>
      <c r="E14">
        <v>12</v>
      </c>
      <c r="F14">
        <v>1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4244</v>
      </c>
      <c r="L14">
        <f>ROUNDDOWN(I14*J14*K14,0)</f>
        <v>424</v>
      </c>
      <c r="M14" s="78">
        <f>((E14*1.33/L14)*F14+F14*0.08)*60</f>
        <v>7.0584905660377357</v>
      </c>
      <c r="N14" t="s">
        <v>154</v>
      </c>
      <c r="Q14" s="71"/>
    </row>
    <row r="15" spans="1:17" s="68" customFormat="1" x14ac:dyDescent="0.25">
      <c r="A15"/>
      <c r="B15">
        <v>12</v>
      </c>
      <c r="C15" t="s">
        <v>22</v>
      </c>
      <c r="D15" s="79">
        <v>12</v>
      </c>
      <c r="E15">
        <v>12</v>
      </c>
      <c r="F15">
        <v>2</v>
      </c>
      <c r="G15"/>
      <c r="H15">
        <f>INDEX(PercageExt,MATCH($B$15,Percage,1),4)</f>
        <v>90</v>
      </c>
      <c r="I15">
        <f>INDEX(PercageExt,MATCH($B$15,Percage,1),3)</f>
        <v>0.1</v>
      </c>
      <c r="J15">
        <f>INDEX(PercageExt,MATCH($B$15,Percage,1),2)</f>
        <v>1</v>
      </c>
      <c r="K15">
        <f>ROUNDDOWN((1000*$H$15)/(PI()*$B$15),0)</f>
        <v>2387</v>
      </c>
      <c r="L15">
        <f>ROUNDDOWN(I15*J15*K15,0)</f>
        <v>238</v>
      </c>
      <c r="M15" s="78">
        <f>((E15*1.33/L15)*F15+F15*0.08)*60</f>
        <v>17.647058823529413</v>
      </c>
      <c r="N15" t="s">
        <v>154</v>
      </c>
      <c r="Q15" s="71"/>
    </row>
    <row r="16" spans="1:17" s="6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2"/>
    </row>
    <row r="17" spans="1:17" s="6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3"/>
    </row>
    <row r="18" spans="1:17" s="6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1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1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2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7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5" t="s">
        <v>22</v>
      </c>
      <c r="I1" s="105"/>
      <c r="J1" s="105"/>
      <c r="K1" s="105"/>
      <c r="L1" s="105"/>
      <c r="N1" s="104" t="s">
        <v>29</v>
      </c>
      <c r="O1" s="104"/>
      <c r="P1" s="104"/>
      <c r="Q1" s="18"/>
      <c r="R1" s="104" t="s">
        <v>44</v>
      </c>
      <c r="S1" s="104"/>
      <c r="T1" s="104"/>
      <c r="U1" s="19"/>
      <c r="V1" s="104" t="s">
        <v>22</v>
      </c>
      <c r="W1" s="104"/>
      <c r="X1" s="104"/>
      <c r="Y1" s="104"/>
      <c r="AA1" s="104" t="s">
        <v>23</v>
      </c>
      <c r="AB1" s="104"/>
      <c r="AC1" s="104"/>
      <c r="AD1" s="104"/>
      <c r="AE1" s="104"/>
      <c r="AF1" s="104"/>
      <c r="AG1" s="104"/>
      <c r="AI1" s="104" t="s">
        <v>24</v>
      </c>
      <c r="AJ1" s="104"/>
      <c r="AK1" s="104"/>
      <c r="AL1" s="104"/>
      <c r="AM1" s="104"/>
      <c r="AO1" s="104" t="s">
        <v>25</v>
      </c>
      <c r="AP1" s="104"/>
      <c r="AQ1" s="104"/>
      <c r="AR1" s="104"/>
      <c r="AS1" s="104"/>
      <c r="AU1" s="104" t="s">
        <v>26</v>
      </c>
      <c r="AV1" s="104"/>
      <c r="AW1" s="104"/>
      <c r="AX1" s="104"/>
      <c r="AZ1" s="104" t="s">
        <v>27</v>
      </c>
      <c r="BA1" s="104"/>
      <c r="BB1" s="104"/>
      <c r="BC1" s="104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9" t="s">
        <v>0</v>
      </c>
      <c r="I2" s="1" t="s">
        <v>1</v>
      </c>
      <c r="J2" s="111" t="s">
        <v>2</v>
      </c>
      <c r="K2" s="112"/>
      <c r="L2" s="113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10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4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5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5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6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7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8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9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20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21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2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6" t="s">
        <v>21</v>
      </c>
      <c r="K15" s="107"/>
      <c r="L15" s="108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3" t="s">
        <v>124</v>
      </c>
      <c r="B1" s="123"/>
      <c r="C1" s="123"/>
      <c r="D1" s="123"/>
      <c r="E1" s="123"/>
      <c r="F1" s="123"/>
      <c r="G1" s="123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4">
        <v>499</v>
      </c>
      <c r="C2" s="126">
        <v>999</v>
      </c>
      <c r="D2" s="126">
        <v>1499</v>
      </c>
      <c r="E2" s="126">
        <v>1999</v>
      </c>
      <c r="F2" s="126">
        <v>3999</v>
      </c>
      <c r="G2" s="128">
        <v>8000</v>
      </c>
      <c r="J2" s="24">
        <f>'Calcul Sequence'!G2</f>
        <v>1728</v>
      </c>
      <c r="K2" s="24">
        <f>'Calcul Sequence'!G1</f>
        <v>69</v>
      </c>
    </row>
    <row r="3" spans="1:15" ht="15.75" thickBot="1" x14ac:dyDescent="0.3">
      <c r="A3" s="38" t="s">
        <v>128</v>
      </c>
      <c r="B3" s="125"/>
      <c r="C3" s="127"/>
      <c r="D3" s="127"/>
      <c r="E3" s="127"/>
      <c r="F3" s="127"/>
      <c r="G3" s="129"/>
      <c r="J3" s="24">
        <f>HLOOKUP(J2,B2:G2,1)</f>
        <v>1499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4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1</v>
      </c>
      <c r="K6" s="24">
        <f>IF(ISNA(J6),0, ROUNDUP( J6/0.036,0))</f>
        <v>28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42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69</v>
      </c>
      <c r="K10" s="24">
        <f>ROUNDUP(-0.0019*J10+1.03*J10+0.2414,0)</f>
        <v>72</v>
      </c>
      <c r="L10" s="24">
        <f>K10*0.036</f>
        <v>2.5919999999999996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56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2014-11-14T14:15:49Z</dcterms:modified>
</cp:coreProperties>
</file>