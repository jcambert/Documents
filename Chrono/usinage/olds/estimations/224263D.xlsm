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32" i="4" l="1"/>
  <c r="M11" i="1" l="1"/>
  <c r="M29" i="4" l="1"/>
  <c r="M23" i="4"/>
  <c r="J11" i="1"/>
  <c r="I11" i="1"/>
  <c r="H11" i="1"/>
  <c r="K11" i="1" s="1"/>
  <c r="L11" i="1" l="1"/>
  <c r="C5" i="4"/>
  <c r="C6" i="4"/>
  <c r="M30" i="4" s="1"/>
  <c r="N32" i="4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<sst xmlns="http://schemas.openxmlformats.org/spreadsheetml/2006/main" count="207" uniqueCount="156">
  <si>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</si>
  <si>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</si>
  <si>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</si>
  <si>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</si>
  <si>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</si>
  <si>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</si>
  <si>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</si>
  <si>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</si>
  <si>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</si>
  <si>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</si>
  <si>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</si>
  <si>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</si>
  <si>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</si>
  <si>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</si>
  <si>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</si>
  <si>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</si>
  <si>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</si>
  <si>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</si>
  <si>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</si>
  <si>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</si>
  <si>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</si>
  <si>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</si>
  <si>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</si>
  <si>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</si>
  <si>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</si>
  <si>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</si>
  <si>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</si>
  <si>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</si>
  <si>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</si>
  <si>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</si>
  <si>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</si>
  <si>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</si>
  <si>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</si>
  <si>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</si>
  <si>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</si>
  <si>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</si>
  <si>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</si>
  <si>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</si>
  <si>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</si>
  <si>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</si>
  <si>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</si>
  <si>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</si>
  <si>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</si>
  <si>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</si>
  <si>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</si>
  <si>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</si>
  <si>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</si>
  <si>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</si>
  <si>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</si>
  <si>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</si>
  <si>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</si>
  <si>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</si>
  <si>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</si>
  <si>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</si>
  <si>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</si>
  <si>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</si>
  <si>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</si>
  <si>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</si>
  <si>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</si>
  <si>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</si>
  <si>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</si>
  <si>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</si>
  <si>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</si>
  <si>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</si>
  <si>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</si>
  <si>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</si>
  <si>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</si>
  <si>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</si>
  <si>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</si>
  <si>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</si>
  <si>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</si>
  <si>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</si>
  <si>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</si>
  <si>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</si>
  <si>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</si>
  <si>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</si>
  <si>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</si>
  <si>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</si>
  <si>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</si>
  <si>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</si>
  <si>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</si>
  <si>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</si>
  <si>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</si>
  <si>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</si>
  <si>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</si>
  <si>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</si>
  <si>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</si>
  <si>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</si>
  <si>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</si>
  <si>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</si>
  <si>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</si>
  <si>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</si>
  <si>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</si>
  <si>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</si>
  <si>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</si>
  <si>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</si>
  <si>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</si>
  <si>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</si>
  <si>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</si>
  <si>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</si>
  <si>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</si>
  <si>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</si>
  <si>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</si>
  <si>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</si>
  <si>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</si>
  <si>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</si>
  <si>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</si>
  <si>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</si>
  <si>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</si>
  <si>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</si>
  <si>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</si>
  <si>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</si>
  <si>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</si>
  <si>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</si>
  <si>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</si>
  <si>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</si>
  <si>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</si>
  <si>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</si>
  <si>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</si>
  <si>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</si>
  <si>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</si>
  <si>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</si>
  <si>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</si>
  <si>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</si>
  <si>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</si>
  <si>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</si>
  <si>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</si>
  <si>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</si>
  <si>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</si>
  <si>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</si>
  <si>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</si>
  <si>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</si>
  <si>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</si>
  <si>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</si>
  <si>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</si>
  <si>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</si>
  <si>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</si>
  <si>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</si>
  <si>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</si>
  <si>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</si>
  <si>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</si>
  <si>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</si>
  <si>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</si>
  <si>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</si>
  <si>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</si>
  <si>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</si>
  <si>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</si>
  <si>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</si>
  <si>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</si>
  <si>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</si>
  <si>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</si>
  <si>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x</t>
  </si>
  <si>
    <t>Pièce/posage</t>
  </si>
  <si>
    <t>Nombre de brides</t>
  </si>
  <si>
    <t>224263D</t>
  </si>
  <si>
    <t>Pendulaire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</si>
</sst>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"/>
    <numFmt numFmtId="165" formatCode="0.0"/>
    <numFmt numFmtId="166" formatCode="[$-F400]h:mm:ss\ AM/PM"/>
    <numFmt numFmtId="167" formatCode="#\ ##0.00"/>
    <numFmt numFmtId="168" formatCode="\Ø#.00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0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9" fillId="20" borderId="0" xfId="2" applyFont="1" applyFill="1" applyAlignment="1" applyProtection="1"/>
    <xf numFmtId="0" fontId="14" fillId="0" borderId="42" xfId="1" applyFont="1" applyBorder="1" applyAlignment="1" applyProtection="1">
      <alignment horizontal="right"/>
      <protection locked="0"/>
    </xf>
    <xf numFmtId="0" fontId="15" fillId="20" borderId="11" xfId="1" applyFont="1" applyFill="1" applyBorder="1" applyAlignment="1" applyProtection="1">
      <alignment horizontal="right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167" fontId="0" fillId="0" borderId="0" xfId="0" applyNumberFormat="1"/>
    <xf numFmtId="168" fontId="0" fillId="0" borderId="0" xfId="0" applyNumberFormat="1"/>
    <xf numFmtId="46" fontId="8" fillId="15" borderId="0" xfId="4" applyNumberFormat="1" applyFont="1" applyAlignment="1" applyProtection="1"/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0" fontId="14" fillId="0" borderId="1" xfId="1" applyFont="1" applyBorder="1" applyAlignment="1" applyProtection="1">
      <alignment horizontal="center"/>
      <protection locked="0"/>
    </xf>
    <xf numFmtId="0" fontId="14" fillId="0" borderId="10" xfId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B9" sqref="B9:G9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2" t="s">
        <v>154</v>
      </c>
      <c r="C1" s="88" t="s">
        <v>102</v>
      </c>
      <c r="D1" s="88"/>
      <c r="E1" s="88"/>
      <c r="F1" s="88"/>
      <c r="G1" s="92">
        <v>6.5</v>
      </c>
      <c r="H1" s="93"/>
      <c r="I1" s="93"/>
      <c r="J1" s="94"/>
      <c r="K1" s="28"/>
      <c r="L1" s="81" t="s">
        <v>145</v>
      </c>
      <c r="M1" s="81"/>
      <c r="N1" s="81"/>
      <c r="O1" s="81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83"/>
      <c r="C2" s="88" t="s">
        <v>104</v>
      </c>
      <c r="D2" s="88"/>
      <c r="E2" s="88"/>
      <c r="F2" s="88"/>
      <c r="G2" s="89">
        <v>517</v>
      </c>
      <c r="H2" s="90"/>
      <c r="I2" s="90"/>
      <c r="J2" s="91"/>
      <c r="K2" s="28"/>
      <c r="L2" s="64" t="s">
        <v>103</v>
      </c>
      <c r="M2" s="64"/>
      <c r="N2" s="64"/>
      <c r="O2" s="25">
        <f>SUM(O21:O32)</f>
        <v>268.00727272727278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4.4667878787878799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13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95">
        <f>'Calcul Temps Technique'!D4</f>
        <v>15</v>
      </c>
      <c r="D5" s="95"/>
      <c r="E5" s="95"/>
      <c r="F5" s="95"/>
      <c r="G5" s="95"/>
      <c r="H5" s="28"/>
      <c r="I5" s="28"/>
      <c r="J5" s="28"/>
      <c r="K5" s="28"/>
      <c r="L5" s="81" t="s">
        <v>146</v>
      </c>
      <c r="M5" s="81"/>
      <c r="N5" s="81"/>
      <c r="O5" s="81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95">
        <f>'Calcul Temps Technique'!D5</f>
        <v>4</v>
      </c>
      <c r="D6" s="95"/>
      <c r="E6" s="95"/>
      <c r="F6" s="95"/>
      <c r="G6" s="95"/>
      <c r="H6" s="31"/>
      <c r="I6" s="28"/>
      <c r="J6" s="28"/>
      <c r="K6" s="28"/>
      <c r="L6" s="64" t="s">
        <v>103</v>
      </c>
      <c r="M6" s="64"/>
      <c r="N6" s="64"/>
      <c r="O6" s="25">
        <f>O26</f>
        <v>79.727272727272748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153</v>
      </c>
      <c r="C7" s="92">
        <v>2</v>
      </c>
      <c r="D7" s="93"/>
      <c r="E7" s="93"/>
      <c r="F7" s="93"/>
      <c r="G7" s="94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188.28000000000003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9">
        <v>2</v>
      </c>
      <c r="D8" s="90"/>
      <c r="E8" s="90"/>
      <c r="F8" s="90"/>
      <c r="G8" s="91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1.3287878787878791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.75" thickBot="1" x14ac:dyDescent="0.4">
      <c r="B9" s="27" t="s">
        <v>155</v>
      </c>
      <c r="C9" s="89" t="b">
        <v>1</v>
      </c>
      <c r="D9" s="90"/>
      <c r="E9" s="90"/>
      <c r="F9" s="90"/>
      <c r="G9" s="91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45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96" t="s">
        <v>137</v>
      </c>
      <c r="D19" s="84"/>
      <c r="E19" s="84"/>
      <c r="F19" s="84" t="s">
        <v>107</v>
      </c>
      <c r="G19" s="84"/>
      <c r="H19" s="84"/>
      <c r="I19" s="84" t="s">
        <v>108</v>
      </c>
      <c r="J19" s="84"/>
      <c r="K19" s="52" t="s">
        <v>109</v>
      </c>
      <c r="L19" s="52" t="s">
        <v>110</v>
      </c>
      <c r="M19" s="53" t="s">
        <v>111</v>
      </c>
      <c r="N19" s="84" t="s">
        <v>52</v>
      </c>
      <c r="O19" s="85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86" t="s">
        <v>11</v>
      </c>
      <c r="J20" s="86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7</v>
      </c>
      <c r="F21" s="33">
        <f>Manutention!$K$11</f>
        <v>1</v>
      </c>
      <c r="G21" s="33">
        <v>1</v>
      </c>
      <c r="H21" s="33">
        <v>3</v>
      </c>
      <c r="I21" s="87"/>
      <c r="J21" s="87"/>
      <c r="K21" s="33"/>
      <c r="L21" s="33"/>
      <c r="M21" s="33">
        <f>$C$6</f>
        <v>4</v>
      </c>
      <c r="N21" s="50">
        <f>IF(ISBLANK(L21),(C21+D21+E21+F21+G21+H21+I21+K21)*10,L21/0.036)*IF(ISBLANK(M21),1,M21)</f>
        <v>760</v>
      </c>
      <c r="O21" s="56">
        <f>N21*0.036</f>
        <v>27.36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7"/>
      <c r="J22" s="87"/>
      <c r="K22" s="33"/>
      <c r="L22" s="33"/>
      <c r="M22" s="33">
        <f t="shared" ref="M22" si="0">$C$6</f>
        <v>4</v>
      </c>
      <c r="N22" s="50">
        <f t="shared" ref="N22:N32" si="1">IF(ISBLANK(L22),(C22+D22+E22+F22+G22+H22+I22+K22)*10,L22/0.036)*IF(ISBLANK(M22),1,M22)</f>
        <v>400</v>
      </c>
      <c r="O22" s="56">
        <f t="shared" ref="O22:O32" si="2">N22*0.036</f>
        <v>14.399999999999999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7"/>
      <c r="J23" s="87"/>
      <c r="K23" s="33"/>
      <c r="L23" s="33"/>
      <c r="M23" s="33">
        <f>$C$7</f>
        <v>2</v>
      </c>
      <c r="N23" s="50">
        <f t="shared" si="1"/>
        <v>580</v>
      </c>
      <c r="O23" s="56">
        <f t="shared" si="2"/>
        <v>20.88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7"/>
      <c r="J24" s="87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7"/>
      <c r="J25" s="87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7"/>
      <c r="J26" s="87"/>
      <c r="K26" s="33">
        <v>6</v>
      </c>
      <c r="L26" s="23">
        <f>'Calcul Temps Technique'!K5</f>
        <v>79.727272727272748</v>
      </c>
      <c r="M26" s="33">
        <v>1</v>
      </c>
      <c r="N26" s="50">
        <f t="shared" si="1"/>
        <v>2214.6464646464656</v>
      </c>
      <c r="O26" s="56">
        <f t="shared" si="2"/>
        <v>79.727272727272748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7"/>
      <c r="J27" s="87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7"/>
      <c r="J28" s="87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7"/>
      <c r="J29" s="87"/>
      <c r="K29" s="33"/>
      <c r="L29" s="33"/>
      <c r="M29" s="33">
        <f>$C$7</f>
        <v>2</v>
      </c>
      <c r="N29" s="50">
        <f t="shared" si="1"/>
        <v>480</v>
      </c>
      <c r="O29" s="56">
        <f t="shared" si="2"/>
        <v>17.279999999999998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7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87"/>
      <c r="J30" s="87"/>
      <c r="K30" s="33"/>
      <c r="L30" s="33"/>
      <c r="M30" s="33">
        <f t="shared" ref="M30:M31" si="5">$C$6</f>
        <v>4</v>
      </c>
      <c r="N30" s="50">
        <f t="shared" si="1"/>
        <v>760</v>
      </c>
      <c r="O30" s="56">
        <f t="shared" si="2"/>
        <v>27.36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7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7"/>
      <c r="J31" s="87"/>
      <c r="K31" s="33"/>
      <c r="L31" s="33"/>
      <c r="M31" s="33">
        <f t="shared" si="5"/>
        <v>4</v>
      </c>
      <c r="N31" s="50">
        <f t="shared" si="1"/>
        <v>800</v>
      </c>
      <c r="O31" s="56">
        <f t="shared" si="2"/>
        <v>28.799999999999997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80"/>
      <c r="J32" s="80"/>
      <c r="K32" s="34"/>
      <c r="L32" s="34"/>
      <c r="M32" s="34">
        <f>$C$8*C7</f>
        <v>4</v>
      </c>
      <c r="N32" s="57">
        <f t="shared" si="1"/>
        <v>800</v>
      </c>
      <c r="O32" s="58">
        <f t="shared" si="2"/>
        <v>28.799999999999997</v>
      </c>
    </row>
  </sheetData>
  <mergeCells count="29">
    <mergeCell ref="C5:G5"/>
    <mergeCell ref="C19:E19"/>
    <mergeCell ref="F19:H19"/>
    <mergeCell ref="I19:J19"/>
    <mergeCell ref="C6:G6"/>
    <mergeCell ref="C7:G7"/>
    <mergeCell ref="C8:G8"/>
    <mergeCell ref="C9:G9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dataValidations count="2">
    <dataValidation type="whole" operator="greaterThanOrEqual" allowBlank="1" showInputMessage="1" showErrorMessage="1" errorTitle="Erreur" error="Le nombre de gabarit doit etre &gt;=0" sqref="C8">
      <formula1>0</formula1>
    </dataValidation>
    <dataValidation type="list" showInputMessage="1" showErrorMessage="1" errorTitle="Erreur" error="Pièce en pendulaire ou pas" sqref="C9:G9">
      <formula1>"VRAI,FAUX"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M12" sqref="M12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4.28515625" bestFit="1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6" t="s">
        <v>99</v>
      </c>
      <c r="K2" s="76" t="s">
        <v>101</v>
      </c>
      <c r="L2" s="76" t="s">
        <v>152</v>
      </c>
    </row>
    <row r="3" spans="1:17" ht="21.75" thickBot="1" x14ac:dyDescent="0.4">
      <c r="C3" s="69" t="s">
        <v>29</v>
      </c>
      <c r="D3" s="71" t="s">
        <v>34</v>
      </c>
      <c r="E3" s="20"/>
      <c r="H3" s="64" t="s">
        <v>94</v>
      </c>
      <c r="I3" s="64"/>
      <c r="J3" s="25">
        <f>SUMIF(N11:N18,"x",M11:M18)</f>
        <v>15.681818181818185</v>
      </c>
      <c r="K3" s="25">
        <f>D5*J3</f>
        <v>62.727272727272741</v>
      </c>
      <c r="L3" s="25">
        <f>K3/$D$5</f>
        <v>15.681818181818185</v>
      </c>
      <c r="N3" s="21"/>
      <c r="O3" s="21"/>
    </row>
    <row r="4" spans="1:17" ht="21" x14ac:dyDescent="0.35">
      <c r="C4" s="64" t="s">
        <v>51</v>
      </c>
      <c r="D4" s="70">
        <v>15</v>
      </c>
      <c r="H4" s="64" t="s">
        <v>95</v>
      </c>
      <c r="I4" s="64"/>
      <c r="J4" s="25">
        <f>17*COUNTIF(N11:N81,"x")</f>
        <v>17</v>
      </c>
      <c r="K4" s="25">
        <f>J4</f>
        <v>17</v>
      </c>
      <c r="L4" s="25">
        <f t="shared" ref="L4:L7" si="0">K4/$D$5</f>
        <v>4.25</v>
      </c>
    </row>
    <row r="5" spans="1:17" ht="21.75" thickBot="1" x14ac:dyDescent="0.4">
      <c r="C5" s="64" t="s">
        <v>100</v>
      </c>
      <c r="D5" s="67">
        <v>4</v>
      </c>
      <c r="H5" s="64" t="s">
        <v>96</v>
      </c>
      <c r="I5" s="64"/>
      <c r="J5" s="25">
        <f>J4+J3</f>
        <v>32.681818181818187</v>
      </c>
      <c r="K5" s="25">
        <f>J4+K3</f>
        <v>79.727272727272748</v>
      </c>
      <c r="L5" s="25">
        <f t="shared" si="0"/>
        <v>19.931818181818187</v>
      </c>
    </row>
    <row r="6" spans="1:17" ht="18.75" x14ac:dyDescent="0.3">
      <c r="H6" s="64"/>
      <c r="I6" s="64"/>
      <c r="J6" s="25">
        <f>CONVERT(J5,"sec","mn")</f>
        <v>0.54469696969696979</v>
      </c>
      <c r="K6" s="25">
        <f>CONVERT(K5,"sec","mn")</f>
        <v>1.3287878787878791</v>
      </c>
      <c r="L6" s="25">
        <f t="shared" si="0"/>
        <v>0.33219696969696977</v>
      </c>
    </row>
    <row r="7" spans="1:17" ht="18.75" x14ac:dyDescent="0.3">
      <c r="H7" s="64"/>
      <c r="I7" s="64"/>
      <c r="J7" s="79">
        <f>J6/24</f>
        <v>2.2695707070707075E-2</v>
      </c>
      <c r="K7" s="79">
        <f>K6/24</f>
        <v>5.5366161616161626E-2</v>
      </c>
      <c r="L7" s="79">
        <f t="shared" si="0"/>
        <v>1.3841540404040406E-2</v>
      </c>
    </row>
    <row r="8" spans="1:17" ht="15.75" thickBot="1" x14ac:dyDescent="0.3"/>
    <row r="9" spans="1:17" ht="18.75" x14ac:dyDescent="0.3">
      <c r="C9" s="99" t="s">
        <v>39</v>
      </c>
      <c r="D9" s="101" t="s">
        <v>40</v>
      </c>
      <c r="E9" s="103" t="s">
        <v>149</v>
      </c>
      <c r="F9" s="103" t="s">
        <v>150</v>
      </c>
      <c r="G9" s="101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7" t="s">
        <v>98</v>
      </c>
    </row>
    <row r="10" spans="1:17" ht="19.5" thickBot="1" x14ac:dyDescent="0.35">
      <c r="C10" s="100"/>
      <c r="D10" s="102"/>
      <c r="E10" s="102"/>
      <c r="F10" s="102"/>
      <c r="G10" s="102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8"/>
    </row>
    <row r="11" spans="1:17" s="68" customFormat="1" x14ac:dyDescent="0.25">
      <c r="A11"/>
      <c r="B11">
        <v>23</v>
      </c>
      <c r="C11" t="s">
        <v>22</v>
      </c>
      <c r="D11" s="78">
        <v>23</v>
      </c>
      <c r="E11">
        <v>15</v>
      </c>
      <c r="F11">
        <v>1</v>
      </c>
      <c r="G11"/>
      <c r="H11">
        <f>INDEX(PercageExt,MATCH($B$11,Percage,1),4)</f>
        <v>200</v>
      </c>
      <c r="I11">
        <f>INDEX(PercageExt,MATCH($B$11,Percage,1),3)</f>
        <v>0.04</v>
      </c>
      <c r="J11">
        <f>INDEX(PercageExt,MATCH($B$11,Percage,1),2)</f>
        <v>1</v>
      </c>
      <c r="K11">
        <f>ROUNDDOWN((1000*$H$11)/(PI()*$B$11),0)</f>
        <v>2767</v>
      </c>
      <c r="L11">
        <f>ROUNDDOWN(I11*J11*K11,0)</f>
        <v>110</v>
      </c>
      <c r="M11" s="77">
        <f>((E11*1.33/L11)*F11+F11*0.08)*60</f>
        <v>15.681818181818185</v>
      </c>
      <c r="N11" t="s">
        <v>151</v>
      </c>
      <c r="O11" s="72"/>
    </row>
    <row r="12" spans="1:17" s="68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7" s="68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Q13" s="73"/>
    </row>
    <row r="14" spans="1:17" s="68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Q14" s="73"/>
    </row>
    <row r="15" spans="1:17" s="68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Q15" s="73"/>
    </row>
    <row r="16" spans="1:17" s="68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4"/>
    </row>
    <row r="17" spans="1:17" s="68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5"/>
    </row>
    <row r="18" spans="1:17" s="68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8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8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3"/>
    </row>
    <row r="33" spans="1:15" s="68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3"/>
    </row>
    <row r="34" spans="1:15" s="68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4"/>
    </row>
    <row r="35" spans="1:15" s="68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8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8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8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8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8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8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8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8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8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8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8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8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8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8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8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8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8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8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8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8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8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8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8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8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8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8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8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8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8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8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8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8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8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8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8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8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8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8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8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8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8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8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8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8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8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8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8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8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8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8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8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8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8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8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8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8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8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8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8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8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8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8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8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8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8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8">
    <dataValidation type="list" allowBlank="1" showInputMessage="1" showErrorMessage="1" sqref="A1">
      <formula1>Operations</formula1>
    </dataValidation>
    <dataValidation type="list" allowBlank="1" showInputMessage="1" showErrorMessage="1" sqref="D3">
      <formula1>Matieres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05" t="s">
        <v>22</v>
      </c>
      <c r="I1" s="105"/>
      <c r="J1" s="105"/>
      <c r="K1" s="105"/>
      <c r="L1" s="105"/>
      <c r="N1" s="104" t="s">
        <v>29</v>
      </c>
      <c r="O1" s="104"/>
      <c r="P1" s="104"/>
      <c r="Q1" s="18"/>
      <c r="R1" s="104" t="s">
        <v>44</v>
      </c>
      <c r="S1" s="104"/>
      <c r="T1" s="104"/>
      <c r="U1" s="19"/>
      <c r="V1" s="104" t="s">
        <v>22</v>
      </c>
      <c r="W1" s="104"/>
      <c r="X1" s="104"/>
      <c r="Y1" s="104"/>
      <c r="AA1" s="104" t="s">
        <v>23</v>
      </c>
      <c r="AB1" s="104"/>
      <c r="AC1" s="104"/>
      <c r="AD1" s="104"/>
      <c r="AE1" s="104"/>
      <c r="AF1" s="104"/>
      <c r="AG1" s="104"/>
      <c r="AI1" s="104" t="s">
        <v>24</v>
      </c>
      <c r="AJ1" s="104"/>
      <c r="AK1" s="104"/>
      <c r="AL1" s="104"/>
      <c r="AM1" s="104"/>
      <c r="AO1" s="104" t="s">
        <v>25</v>
      </c>
      <c r="AP1" s="104"/>
      <c r="AQ1" s="104"/>
      <c r="AR1" s="104"/>
      <c r="AS1" s="104"/>
      <c r="AU1" s="104" t="s">
        <v>26</v>
      </c>
      <c r="AV1" s="104"/>
      <c r="AW1" s="104"/>
      <c r="AX1" s="104"/>
      <c r="AZ1" s="104" t="s">
        <v>27</v>
      </c>
      <c r="BA1" s="104"/>
      <c r="BB1" s="104"/>
      <c r="BC1" s="104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9" t="s">
        <v>0</v>
      </c>
      <c r="I2" s="1" t="s">
        <v>1</v>
      </c>
      <c r="J2" s="111" t="s">
        <v>2</v>
      </c>
      <c r="K2" s="112"/>
      <c r="L2" s="113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10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4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5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5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6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7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8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9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20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21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2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6" t="s">
        <v>21</v>
      </c>
      <c r="K15" s="107"/>
      <c r="L15" s="108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J15:L15"/>
    <mergeCell ref="H2:H3"/>
    <mergeCell ref="J2:L2"/>
    <mergeCell ref="H4:H7"/>
    <mergeCell ref="H9:H11"/>
    <mergeCell ref="H12:H14"/>
    <mergeCell ref="AU1:AX1"/>
    <mergeCell ref="AO1:AS1"/>
    <mergeCell ref="H1:L1"/>
    <mergeCell ref="AZ1:BC1"/>
    <mergeCell ref="R1:T1"/>
    <mergeCell ref="AA1:AG1"/>
    <mergeCell ref="N1:P1"/>
    <mergeCell ref="AI1:AM1"/>
    <mergeCell ref="V1:Y1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3" t="s">
        <v>124</v>
      </c>
      <c r="B1" s="123"/>
      <c r="C1" s="123"/>
      <c r="D1" s="123"/>
      <c r="E1" s="123"/>
      <c r="F1" s="123"/>
      <c r="G1" s="123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4">
        <v>499</v>
      </c>
      <c r="C2" s="126">
        <v>999</v>
      </c>
      <c r="D2" s="126">
        <v>1499</v>
      </c>
      <c r="E2" s="126">
        <v>1999</v>
      </c>
      <c r="F2" s="126">
        <v>3999</v>
      </c>
      <c r="G2" s="128">
        <v>8000</v>
      </c>
      <c r="J2" s="24">
        <f>'Calcul Sequence'!G2</f>
        <v>517</v>
      </c>
      <c r="K2" s="24">
        <f>'Calcul Sequence'!G1</f>
        <v>6.5</v>
      </c>
    </row>
    <row r="3" spans="1:15" ht="15.75" thickBot="1" x14ac:dyDescent="0.3">
      <c r="A3" s="38" t="s">
        <v>128</v>
      </c>
      <c r="B3" s="125"/>
      <c r="C3" s="127"/>
      <c r="D3" s="127"/>
      <c r="E3" s="127"/>
      <c r="F3" s="127"/>
      <c r="G3" s="129"/>
      <c r="J3" s="24">
        <f>HLOOKUP(J2,B2:G2,1)</f>
        <v>499</v>
      </c>
      <c r="K3" s="24">
        <f>VLOOKUP(K2,A4:A13,1)</f>
        <v>5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2</v>
      </c>
      <c r="K4" s="24">
        <f>MATCH(K3,A4:A13,1)+1</f>
        <v>3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0.15</v>
      </c>
      <c r="K6" s="24">
        <f>IF(ISNA(J6),0, ROUNDUP( J6/0.036,0))</f>
        <v>5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6.5</v>
      </c>
      <c r="K10" s="24">
        <f>ROUNDUP(-0.0019*J10+1.03*J10+0.2414,0)</f>
        <v>7</v>
      </c>
      <c r="L10" s="24">
        <f>K10*0.036</f>
        <v>0.252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2014-11-12T13:52:16Z</dcterms:modified>
</cp:coreProperties>
</file>