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/>
  </bookViews>
  <sheets>
    <sheet name="Calcul Sequence" sheetId="4" r:id="rId1"/>
    <sheet name="Calcul Temps Technique" sheetId="1" r:id="rId2"/>
    <sheet name="Abaques" sheetId="3" state="hidden" r:id="rId3"/>
    <sheet name="Manutention" sheetId="5" state="hidden" r:id="rId4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</definedNames>
  <calcPr calcId="145621"/>
</workbook>
</file>

<file path=xl/calcChain.xml><?xml version="1.0" encoding="utf-8"?>
<calcChain xmlns="http://schemas.openxmlformats.org/spreadsheetml/2006/main">
  <c r="M18" i="1" l="1"/>
  <c r="L18" i="1"/>
  <c r="K18" i="1"/>
  <c r="J18" i="1"/>
  <c r="I18" i="1"/>
  <c r="H18" i="1"/>
  <c r="F18" i="1"/>
  <c r="M17" i="1"/>
  <c r="L17" i="1"/>
  <c r="K17" i="1"/>
  <c r="J17" i="1"/>
  <c r="I17" i="1"/>
  <c r="H17" i="1"/>
  <c r="F17" i="1"/>
  <c r="M16" i="1"/>
  <c r="L16" i="1"/>
  <c r="K16" i="1"/>
  <c r="J16" i="1"/>
  <c r="I16" i="1"/>
  <c r="H16" i="1"/>
  <c r="M15" i="1"/>
  <c r="L15" i="1"/>
  <c r="K15" i="1"/>
  <c r="J15" i="1"/>
  <c r="I15" i="1"/>
  <c r="H15" i="1"/>
  <c r="M14" i="1"/>
  <c r="L14" i="1"/>
  <c r="K14" i="1"/>
  <c r="J14" i="1"/>
  <c r="I14" i="1"/>
  <c r="H14" i="1"/>
  <c r="M13" i="1"/>
  <c r="L13" i="1"/>
  <c r="K13" i="1"/>
  <c r="I13" i="1"/>
  <c r="H13" i="1"/>
  <c r="B13" i="1"/>
  <c r="M12" i="1"/>
  <c r="L12" i="1"/>
  <c r="K12" i="1"/>
  <c r="J12" i="1"/>
  <c r="I12" i="1"/>
  <c r="H12" i="1"/>
  <c r="M11" i="1"/>
  <c r="L11" i="1"/>
  <c r="K11" i="1"/>
  <c r="I11" i="1"/>
  <c r="H11" i="1"/>
  <c r="B11" i="1"/>
  <c r="B1" i="4" l="1"/>
  <c r="M29" i="4" l="1"/>
  <c r="M23" i="4"/>
  <c r="C5" i="4" l="1"/>
  <c r="C6" i="4"/>
  <c r="M30" i="4" s="1"/>
  <c r="M32" i="4"/>
  <c r="N32" i="4" s="1"/>
  <c r="O32" i="4" s="1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K10" i="5" s="1"/>
  <c r="L10" i="5" s="1"/>
  <c r="O3" i="5"/>
  <c r="M21" i="4" l="1"/>
  <c r="M22" i="4"/>
  <c r="N22" i="4" s="1"/>
  <c r="O22" i="4" s="1"/>
  <c r="N29" i="4"/>
  <c r="O29" i="4" s="1"/>
  <c r="M31" i="4"/>
  <c r="E21" i="4"/>
  <c r="E31" i="4" s="1"/>
  <c r="N31" i="4" s="1"/>
  <c r="O31" i="4" s="1"/>
  <c r="K3" i="5"/>
  <c r="K4" i="5" s="1"/>
  <c r="J6" i="5" s="1"/>
  <c r="K6" i="5" s="1"/>
  <c r="K7" i="5" s="1"/>
  <c r="K11" i="5"/>
  <c r="F21" i="4" s="1"/>
  <c r="F30" i="4" s="1"/>
  <c r="J4" i="1"/>
  <c r="K4" i="1" s="1"/>
  <c r="L4" i="1" s="1"/>
  <c r="BB3" i="3"/>
  <c r="AW3" i="3"/>
  <c r="AQ3" i="3"/>
  <c r="AQ4" i="3"/>
  <c r="AK3" i="3"/>
  <c r="AK4" i="3"/>
  <c r="AK5" i="3"/>
  <c r="AK6" i="3"/>
  <c r="N21" i="4" l="1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L3" i="1" s="1"/>
  <c r="J5" i="1"/>
  <c r="J6" i="1" l="1"/>
  <c r="J7" i="1" s="1"/>
  <c r="K5" i="1"/>
  <c r="L5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<sst xmlns="http://schemas.openxmlformats.org/spreadsheetml/2006/main" count="219" uniqueCount="156">
  <si>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</si>
  <si>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</si>
  <si>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</si>
  <si>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</si>
  <si>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</si>
  <si>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</si>
  <si>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</si>
  <si>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</si>
  <si>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</si>
  <si>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</si>
  <si>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</si>
  <si>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</si>
  <si>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</si>
  <si>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</si>
  <si>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</si>
  <si>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</si>
  <si>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</si>
  <si>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</si>
  <si>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</si>
  <si>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</si>
  <si>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</si>
  <si>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</si>
  <si>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</si>
  <si>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</si>
  <si>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</si>
  <si>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</si>
  <si>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</si>
  <si>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</si>
  <si>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</si>
  <si>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</si>
  <si>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</si>
  <si>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</si>
  <si>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</si>
  <si>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</si>
  <si>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</si>
  <si>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</si>
  <si>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</si>
  <si>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</si>
  <si>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</si>
  <si>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</si>
  <si>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</si>
  <si>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</si>
  <si>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</si>
  <si>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</si>
  <si>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</si>
  <si>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</si>
  <si>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</si>
  <si>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</si>
  <si>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</si>
  <si>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</si>
  <si>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Vf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</si>
  <si>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</si>
  <si>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</si>
  <si>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</si>
  <si>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</si>
  <si>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</si>
  <si>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</si>
  <si>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</si>
  <si>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</si>
  <si>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</si>
  <si>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</si>
  <si>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</si>
  <si>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</si>
  <si>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</si>
  <si>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</si>
  <si>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</si>
  <si>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</si>
  <si>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</si>
  <si>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</si>
  <si>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</si>
  <si>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</si>
  <si>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</si>
  <si>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</si>
  <si>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</si>
  <si>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</si>
  <si>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</si>
  <si>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</si>
  <si>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</si>
  <si>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</si>
  <si>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</si>
  <si>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</si>
  <si>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</si>
  <si>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</si>
  <si>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</si>
  <si>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</si>
  <si>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</si>
  <si>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</si>
  <si>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</si>
  <si>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</si>
  <si>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</si>
  <si>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</si>
  <si>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</si>
  <si>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</si>
  <si>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</si>
  <si>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</si>
  <si>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</si>
  <si>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Temps Total</t>
  </si>
  <si>
    <t>Vitesse d'avance mm/min</t>
  </si>
  <si>
    <t>Temps
sec</t>
  </si>
  <si>
    <t>Unite</t>
  </si>
  <si>
    <t>Piece/Posage</t>
  </si>
  <si>
    <t>Posage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</si>
  <si>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</si>
  <si>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</si>
  <si>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</si>
  <si>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</si>
  <si>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</si>
  <si>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</si>
  <si>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</si>
  <si>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</si>
  <si>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</si>
  <si>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</si>
  <si>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</si>
  <si>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</si>
  <si>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</si>
  <si>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</si>
  <si>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</si>
  <si>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</si>
  <si>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</si>
  <si>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</si>
  <si>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</si>
  <si>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</si>
  <si>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</si>
  <si>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</si>
  <si>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</si>
  <si>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</si>
  <si>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</si>
  <si>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</si>
  <si>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</si>
  <si>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</si>
  <si>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</si>
  <si>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</si>
  <si>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</si>
  <si>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</si>
  <si>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</si>
  <si>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</si>
  <si>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</si>
  <si>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</si>
  <si>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</si>
  <si>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</si>
  <si>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</si>
  <si>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</si>
  <si>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</si>
  <si>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</si>
  <si>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</si>
  <si>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</si>
  <si>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</si>
  <si>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</si>
  <si>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</si>
  <si>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</si>
  <si>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</si>
  <si>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Pièce/posage</t>
  </si>
  <si>
    <t>Nombre de brides</t>
  </si>
  <si>
    <t>Reference</t>
  </si>
  <si>
    <t>303127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</si>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</sst>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"/>
    <numFmt numFmtId="165" formatCode="0.0"/>
    <numFmt numFmtId="166" formatCode="[$-F400]h:mm:ss\ AM/PM"/>
    <numFmt numFmtId="167" formatCode="\M#.00"/>
    <numFmt numFmtId="168" formatCode="#\ ##0.00"/>
    <numFmt numFmtId="169" formatCode="\Ø#.00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</cellStyleXfs>
  <cellXfs count="131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0" xfId="1" applyFont="1" applyAlignment="1">
      <alignment horizontal="right"/>
    </xf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4" fillId="0" borderId="42" xfId="1" applyFont="1" applyBorder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46" fontId="8" fillId="15" borderId="0" xfId="4" applyNumberFormat="1" applyFont="1" applyAlignment="1" applyProtection="1"/>
    <xf numFmtId="49" fontId="14" fillId="0" borderId="26" xfId="1" applyNumberFormat="1" applyFont="1" applyBorder="1" applyAlignment="1" applyProtection="1">
      <alignment horizontal="right"/>
      <protection locked="0"/>
    </xf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11" fillId="13" borderId="32" xfId="2" applyFont="1" applyBorder="1" applyAlignment="1" applyProtection="1">
      <alignment horizontal="center" vertical="center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9" fillId="14" borderId="21" xfId="3" applyFont="1" applyBorder="1" applyAlignment="1" applyProtection="1">
      <alignment horizontal="center"/>
    </xf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</cellXfs>
  <cellStyles count="6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4" xfId="1" builtinId="19"/>
  </cellStyles>
  <dxfs count="4">
    <dxf>
      <numFmt numFmtId="0" formatCode="General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5</xdr:row>
          <xdr:rowOff>95250</xdr:rowOff>
        </xdr:from>
        <xdr:to>
          <xdr:col>4</xdr:col>
          <xdr:colOff>314325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3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2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0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3" totalsRowShown="0">
  <autoFilter ref="AZ2:BC3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tabSelected="1" zoomScale="110" zoomScaleNormal="110" workbookViewId="0">
      <selection activeCell="C9" sqref="C9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90" t="str">
        <f>'Calcul Temps Technique'!D3</f>
        <v>303127</v>
      </c>
      <c r="C1" s="94" t="s">
        <v>102</v>
      </c>
      <c r="D1" s="94"/>
      <c r="E1" s="94"/>
      <c r="F1" s="94"/>
      <c r="G1" s="81">
        <v>23</v>
      </c>
      <c r="H1" s="82"/>
      <c r="I1" s="82"/>
      <c r="J1" s="83"/>
      <c r="K1" s="28"/>
      <c r="L1" s="89" t="s">
        <v>145</v>
      </c>
      <c r="M1" s="89"/>
      <c r="N1" s="89"/>
      <c r="O1" s="89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91"/>
      <c r="C2" s="94" t="s">
        <v>104</v>
      </c>
      <c r="D2" s="94"/>
      <c r="E2" s="94"/>
      <c r="F2" s="94"/>
      <c r="G2" s="84">
        <v>850</v>
      </c>
      <c r="H2" s="85"/>
      <c r="I2" s="85"/>
      <c r="J2" s="86"/>
      <c r="K2" s="28"/>
      <c r="L2" s="64" t="s">
        <v>103</v>
      </c>
      <c r="M2" s="64"/>
      <c r="N2" s="64"/>
      <c r="O2" s="25">
        <f>SUM(O21:O32)</f>
        <v>590.31355088780458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133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105</v>
      </c>
      <c r="M3" s="64"/>
      <c r="N3" s="64"/>
      <c r="O3" s="35">
        <f>CONVERT(O2,"sec","mn")</f>
        <v>9.8385591814634097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106</v>
      </c>
      <c r="M4" s="64"/>
      <c r="N4" s="64"/>
      <c r="O4" s="35">
        <f>IF(OR(ISBLANK(O2),O2=0),0,ROUNDDOWN(3600/O2,0))</f>
        <v>6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51</v>
      </c>
      <c r="C5" s="78">
        <f>'Calcul Temps Technique'!D4</f>
        <v>10</v>
      </c>
      <c r="D5" s="78"/>
      <c r="E5" s="78"/>
      <c r="F5" s="78"/>
      <c r="G5" s="78"/>
      <c r="H5" s="28"/>
      <c r="I5" s="28"/>
      <c r="J5" s="28"/>
      <c r="K5" s="28"/>
      <c r="L5" s="89" t="s">
        <v>146</v>
      </c>
      <c r="M5" s="89"/>
      <c r="N5" s="89"/>
      <c r="O5" s="89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134</v>
      </c>
      <c r="C6" s="78">
        <f>'Calcul Temps Technique'!D5</f>
        <v>1</v>
      </c>
      <c r="D6" s="78"/>
      <c r="E6" s="78"/>
      <c r="F6" s="78"/>
      <c r="G6" s="78"/>
      <c r="H6" s="31"/>
      <c r="I6" s="28"/>
      <c r="J6" s="28"/>
      <c r="K6" s="28"/>
      <c r="L6" s="64" t="s">
        <v>103</v>
      </c>
      <c r="M6" s="64"/>
      <c r="N6" s="64"/>
      <c r="O6" s="25">
        <f>O26</f>
        <v>372.15355088780461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152</v>
      </c>
      <c r="C7" s="81">
        <v>2</v>
      </c>
      <c r="D7" s="82"/>
      <c r="E7" s="82"/>
      <c r="F7" s="82"/>
      <c r="G7" s="83"/>
      <c r="H7" s="31"/>
      <c r="I7" s="28"/>
      <c r="J7" s="28"/>
      <c r="K7" s="28"/>
      <c r="L7" s="64" t="s">
        <v>147</v>
      </c>
      <c r="M7" s="64"/>
      <c r="N7" s="64" t="s">
        <v>148</v>
      </c>
      <c r="O7" s="35">
        <f>O2-O6</f>
        <v>218.15999999999997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144</v>
      </c>
      <c r="C8" s="84">
        <v>14</v>
      </c>
      <c r="D8" s="85"/>
      <c r="E8" s="85"/>
      <c r="F8" s="85"/>
      <c r="G8" s="86"/>
      <c r="H8" s="31"/>
      <c r="I8" s="31"/>
      <c r="J8" s="28"/>
      <c r="K8" s="28"/>
      <c r="L8" s="64" t="s">
        <v>105</v>
      </c>
      <c r="M8" s="64"/>
      <c r="N8" s="64"/>
      <c r="O8" s="35">
        <f>CONVERT(O6,"sec","mn")</f>
        <v>6.2025591814634105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" x14ac:dyDescent="0.35">
      <c r="B9" s="28"/>
      <c r="C9" s="67"/>
      <c r="D9" s="67"/>
      <c r="E9" s="67"/>
      <c r="F9" s="67"/>
      <c r="G9" s="67"/>
      <c r="H9" s="31"/>
      <c r="I9" s="31"/>
      <c r="J9" s="28"/>
      <c r="K9" s="28"/>
      <c r="L9" s="64" t="s">
        <v>106</v>
      </c>
      <c r="M9" s="64"/>
      <c r="N9" s="64"/>
      <c r="O9" s="35">
        <f>IF(OR(ISBLANK(O6),O6=0),0,ROUNDDOWN(3600/O6,0))</f>
        <v>9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79" t="s">
        <v>137</v>
      </c>
      <c r="D19" s="80"/>
      <c r="E19" s="80"/>
      <c r="F19" s="80" t="s">
        <v>107</v>
      </c>
      <c r="G19" s="80"/>
      <c r="H19" s="80"/>
      <c r="I19" s="80" t="s">
        <v>108</v>
      </c>
      <c r="J19" s="80"/>
      <c r="K19" s="52" t="s">
        <v>109</v>
      </c>
      <c r="L19" s="52" t="s">
        <v>110</v>
      </c>
      <c r="M19" s="53" t="s">
        <v>111</v>
      </c>
      <c r="N19" s="80" t="s">
        <v>52</v>
      </c>
      <c r="O19" s="92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112</v>
      </c>
      <c r="C20" s="61" t="s">
        <v>113</v>
      </c>
      <c r="D20" s="54" t="s">
        <v>114</v>
      </c>
      <c r="E20" s="54" t="s">
        <v>115</v>
      </c>
      <c r="F20" s="54" t="s">
        <v>113</v>
      </c>
      <c r="G20" s="54" t="s">
        <v>114</v>
      </c>
      <c r="H20" s="54" t="s">
        <v>6</v>
      </c>
      <c r="I20" s="93" t="s">
        <v>11</v>
      </c>
      <c r="J20" s="93"/>
      <c r="K20" s="54" t="s">
        <v>113</v>
      </c>
      <c r="L20" s="54" t="s">
        <v>116</v>
      </c>
      <c r="M20" s="54" t="s">
        <v>117</v>
      </c>
      <c r="N20" s="54" t="s">
        <v>118</v>
      </c>
      <c r="O20" s="55" t="s">
        <v>119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135</v>
      </c>
      <c r="C21" s="62">
        <v>1</v>
      </c>
      <c r="D21" s="33">
        <v>6</v>
      </c>
      <c r="E21" s="33">
        <f>Manutention!$K$10</f>
        <v>24</v>
      </c>
      <c r="F21" s="33">
        <f>Manutention!$K$11</f>
        <v>19</v>
      </c>
      <c r="G21" s="33">
        <v>1</v>
      </c>
      <c r="H21" s="33">
        <v>3</v>
      </c>
      <c r="I21" s="87"/>
      <c r="J21" s="87"/>
      <c r="K21" s="33"/>
      <c r="L21" s="33"/>
      <c r="M21" s="33">
        <f>$C$6</f>
        <v>1</v>
      </c>
      <c r="N21" s="50">
        <f>IF(ISBLANK(L21),(C21+D21+E21+F21+G21+H21+I21+K21)*10,L21/0.036)*IF(ISBLANK(M21),1,M21)</f>
        <v>540</v>
      </c>
      <c r="O21" s="56">
        <f>N21*0.036</f>
        <v>19.439999999999998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120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87"/>
      <c r="J22" s="87"/>
      <c r="K22" s="33"/>
      <c r="L22" s="33"/>
      <c r="M22" s="33">
        <f t="shared" ref="M22" si="0">$C$6</f>
        <v>1</v>
      </c>
      <c r="N22" s="50">
        <f t="shared" ref="N22:N32" si="1">IF(ISBLANK(L22),(C22+D22+E22+F22+G22+H22+I22+K22)*10,L22/0.036)*IF(ISBLANK(M22),1,M22)</f>
        <v>100</v>
      </c>
      <c r="O22" s="56">
        <f t="shared" ref="O22:O32" si="2">N22*0.036</f>
        <v>3.5999999999999996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136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87"/>
      <c r="J23" s="87"/>
      <c r="K23" s="33"/>
      <c r="L23" s="33"/>
      <c r="M23" s="33">
        <f>$C$7</f>
        <v>2</v>
      </c>
      <c r="N23" s="50">
        <f t="shared" si="1"/>
        <v>580</v>
      </c>
      <c r="O23" s="56">
        <f t="shared" si="2"/>
        <v>20.88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138</v>
      </c>
      <c r="C24" s="62">
        <v>3</v>
      </c>
      <c r="D24" s="33">
        <v>3</v>
      </c>
      <c r="E24" s="33">
        <v>1</v>
      </c>
      <c r="F24" s="33"/>
      <c r="G24" s="33"/>
      <c r="H24" s="33"/>
      <c r="I24" s="87"/>
      <c r="J24" s="87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139</v>
      </c>
      <c r="C25" s="62"/>
      <c r="D25" s="33"/>
      <c r="E25" s="33"/>
      <c r="F25" s="33">
        <v>6</v>
      </c>
      <c r="G25" s="33">
        <v>1</v>
      </c>
      <c r="H25" s="33">
        <v>3</v>
      </c>
      <c r="I25" s="87"/>
      <c r="J25" s="87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121</v>
      </c>
      <c r="C26" s="62"/>
      <c r="D26" s="33"/>
      <c r="E26" s="33"/>
      <c r="F26" s="33"/>
      <c r="G26" s="33"/>
      <c r="H26" s="33"/>
      <c r="I26" s="87"/>
      <c r="J26" s="87"/>
      <c r="K26" s="33">
        <v>6</v>
      </c>
      <c r="L26" s="23">
        <f>'Calcul Temps Technique'!K5</f>
        <v>372.15355088780456</v>
      </c>
      <c r="M26" s="33">
        <v>1</v>
      </c>
      <c r="N26" s="50">
        <f t="shared" si="1"/>
        <v>10337.59863577235</v>
      </c>
      <c r="O26" s="56">
        <f t="shared" si="2"/>
        <v>372.15355088780461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140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87"/>
      <c r="J27" s="87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142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87"/>
      <c r="J28" s="87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141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87"/>
      <c r="J29" s="87"/>
      <c r="K29" s="33"/>
      <c r="L29" s="33"/>
      <c r="M29" s="33">
        <f>$C$7</f>
        <v>2</v>
      </c>
      <c r="N29" s="50">
        <f t="shared" si="1"/>
        <v>480</v>
      </c>
      <c r="O29" s="56">
        <f t="shared" si="2"/>
        <v>17.279999999999998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122</v>
      </c>
      <c r="C30" s="62">
        <f>C21</f>
        <v>1</v>
      </c>
      <c r="D30" s="33">
        <f t="shared" ref="D30:H30" si="4">D21</f>
        <v>6</v>
      </c>
      <c r="E30" s="33">
        <f t="shared" si="4"/>
        <v>24</v>
      </c>
      <c r="F30" s="33">
        <f t="shared" si="4"/>
        <v>19</v>
      </c>
      <c r="G30" s="33">
        <f t="shared" si="4"/>
        <v>1</v>
      </c>
      <c r="H30" s="33">
        <f t="shared" si="4"/>
        <v>3</v>
      </c>
      <c r="I30" s="87"/>
      <c r="J30" s="87"/>
      <c r="K30" s="33"/>
      <c r="L30" s="33"/>
      <c r="M30" s="33">
        <f t="shared" ref="M30:M31" si="5">$C$6</f>
        <v>1</v>
      </c>
      <c r="N30" s="50">
        <f t="shared" si="1"/>
        <v>540</v>
      </c>
      <c r="O30" s="56">
        <f t="shared" si="2"/>
        <v>19.439999999999998</v>
      </c>
    </row>
    <row r="31" spans="2:26" ht="18.75" x14ac:dyDescent="0.3">
      <c r="B31" s="49" t="s">
        <v>123</v>
      </c>
      <c r="C31" s="62">
        <f>IF($Z$1,0,C21)</f>
        <v>1</v>
      </c>
      <c r="D31" s="33"/>
      <c r="E31" s="33">
        <f>IF($Z$1,0,E21)</f>
        <v>24</v>
      </c>
      <c r="F31" s="33">
        <f>IF($Z$1,0,6)</f>
        <v>6</v>
      </c>
      <c r="G31" s="33">
        <f>IF($Z$1,0,3)</f>
        <v>3</v>
      </c>
      <c r="H31" s="33">
        <f>IF($Z$1,0,3)</f>
        <v>3</v>
      </c>
      <c r="I31" s="87"/>
      <c r="J31" s="87"/>
      <c r="K31" s="33"/>
      <c r="L31" s="33"/>
      <c r="M31" s="33">
        <f t="shared" si="5"/>
        <v>1</v>
      </c>
      <c r="N31" s="50">
        <f t="shared" si="1"/>
        <v>370</v>
      </c>
      <c r="O31" s="56">
        <f t="shared" si="2"/>
        <v>13.319999999999999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143</v>
      </c>
      <c r="C32" s="63">
        <v>3</v>
      </c>
      <c r="D32" s="34">
        <v>6</v>
      </c>
      <c r="E32" s="34">
        <v>1</v>
      </c>
      <c r="F32" s="34"/>
      <c r="G32" s="34"/>
      <c r="H32" s="34">
        <v>10</v>
      </c>
      <c r="I32" s="88"/>
      <c r="J32" s="88"/>
      <c r="K32" s="34"/>
      <c r="L32" s="34"/>
      <c r="M32" s="34">
        <f>$C$8</f>
        <v>14</v>
      </c>
      <c r="N32" s="57">
        <f t="shared" si="1"/>
        <v>2800</v>
      </c>
      <c r="O32" s="58">
        <f t="shared" si="2"/>
        <v>100.8</v>
      </c>
    </row>
  </sheetData>
  <mergeCells count="28"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  <mergeCell ref="I28:J28"/>
    <mergeCell ref="I30:J30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</mergeCells>
  <dataValidations count="1">
    <dataValidation type="whole" operator="greaterThanOrEqual" allowBlank="1" showInputMessage="1" showErrorMessage="1" errorTitle="Erreur" error="Le nombre de gabarit doit etre &gt;=0" sqref="C8">
      <formula1>0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S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zoomScaleNormal="100" zoomScaleSheetLayoutView="100" workbookViewId="0">
      <selection activeCell="C18" sqref="C18"/>
    </sheetView>
  </sheetViews>
  <sheetFormatPr baseColWidth="10" defaultRowHeight="15" x14ac:dyDescent="0.25"/>
  <cols>
    <col min="2" max="2" width="0" hidden="1" customWidth="1"/>
    <col min="3" max="3" width="15.85546875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8.7109375" bestFit="1" customWidth="1"/>
    <col min="12" max="12" width="29.85546875" bestFit="1" customWidth="1"/>
    <col min="13" max="13" width="12" bestFit="1" customWidth="1"/>
    <col min="14" max="14" width="11.42578125" hidden="1" customWidth="1"/>
  </cols>
  <sheetData>
    <row r="2" spans="1:17" ht="18.75" x14ac:dyDescent="0.3">
      <c r="J2" s="75" t="s">
        <v>99</v>
      </c>
      <c r="K2" s="75" t="s">
        <v>101</v>
      </c>
      <c r="L2" s="75" t="s">
        <v>151</v>
      </c>
    </row>
    <row r="3" spans="1:17" ht="21.75" thickBot="1" x14ac:dyDescent="0.4">
      <c r="C3" s="64" t="s">
        <v>153</v>
      </c>
      <c r="D3" s="77" t="s">
        <v>154</v>
      </c>
      <c r="E3" s="20"/>
      <c r="H3" s="64" t="s">
        <v>94</v>
      </c>
      <c r="I3" s="64"/>
      <c r="J3" s="25">
        <f>SUMIF(N11:N18,"x",M11:M18)</f>
        <v>236.15355088780456</v>
      </c>
      <c r="K3" s="25">
        <f>D5*J3</f>
        <v>236.15355088780456</v>
      </c>
      <c r="L3" s="25">
        <f>K3/$D$5</f>
        <v>236.15355088780456</v>
      </c>
      <c r="N3" s="21"/>
      <c r="O3" s="21"/>
    </row>
    <row r="4" spans="1:17" ht="21" x14ac:dyDescent="0.35">
      <c r="C4" s="64" t="s">
        <v>51</v>
      </c>
      <c r="D4" s="70">
        <v>10</v>
      </c>
      <c r="H4" s="64" t="s">
        <v>95</v>
      </c>
      <c r="I4" s="64"/>
      <c r="J4" s="25">
        <f>17*COUNTIF(N11:N81,"x")</f>
        <v>136</v>
      </c>
      <c r="K4" s="25">
        <f>J4</f>
        <v>136</v>
      </c>
      <c r="L4" s="25">
        <f t="shared" ref="L4:L7" si="0">K4/$D$5</f>
        <v>136</v>
      </c>
    </row>
    <row r="5" spans="1:17" ht="21.75" thickBot="1" x14ac:dyDescent="0.4">
      <c r="C5" s="64" t="s">
        <v>100</v>
      </c>
      <c r="D5" s="68">
        <v>1</v>
      </c>
      <c r="H5" s="64" t="s">
        <v>96</v>
      </c>
      <c r="I5" s="64"/>
      <c r="J5" s="25">
        <f>J4+J3</f>
        <v>372.15355088780456</v>
      </c>
      <c r="K5" s="25">
        <f>J4+K3</f>
        <v>372.15355088780456</v>
      </c>
      <c r="L5" s="25">
        <f t="shared" si="0"/>
        <v>372.15355088780456</v>
      </c>
    </row>
    <row r="6" spans="1:17" ht="18.75" x14ac:dyDescent="0.3">
      <c r="H6" s="64"/>
      <c r="I6" s="64"/>
      <c r="J6" s="25">
        <f>CONVERT(J5,"sec","mn")</f>
        <v>6.2025591814634096</v>
      </c>
      <c r="K6" s="25">
        <f>CONVERT(K5,"sec","mn")</f>
        <v>6.2025591814634096</v>
      </c>
      <c r="L6" s="25">
        <f t="shared" si="0"/>
        <v>6.2025591814634096</v>
      </c>
    </row>
    <row r="7" spans="1:17" ht="18.75" x14ac:dyDescent="0.3">
      <c r="H7" s="64"/>
      <c r="I7" s="64"/>
      <c r="J7" s="76">
        <f>J6/24</f>
        <v>0.25843996589430873</v>
      </c>
      <c r="K7" s="76">
        <f>K6/24</f>
        <v>0.25843996589430873</v>
      </c>
      <c r="L7" s="76">
        <f t="shared" si="0"/>
        <v>0.25843996589430873</v>
      </c>
    </row>
    <row r="8" spans="1:17" ht="15.75" thickBot="1" x14ac:dyDescent="0.3"/>
    <row r="9" spans="1:17" ht="18.75" x14ac:dyDescent="0.3">
      <c r="C9" s="97" t="s">
        <v>39</v>
      </c>
      <c r="D9" s="99" t="s">
        <v>40</v>
      </c>
      <c r="E9" s="101" t="s">
        <v>149</v>
      </c>
      <c r="F9" s="101" t="s">
        <v>150</v>
      </c>
      <c r="G9" s="99" t="s">
        <v>45</v>
      </c>
      <c r="H9" s="65" t="s">
        <v>86</v>
      </c>
      <c r="I9" s="65" t="s">
        <v>87</v>
      </c>
      <c r="J9" s="65" t="s">
        <v>88</v>
      </c>
      <c r="K9" s="65" t="s">
        <v>89</v>
      </c>
      <c r="L9" s="65" t="s">
        <v>97</v>
      </c>
      <c r="M9" s="95" t="s">
        <v>98</v>
      </c>
    </row>
    <row r="10" spans="1:17" ht="19.5" thickBot="1" x14ac:dyDescent="0.35">
      <c r="C10" s="98"/>
      <c r="D10" s="100"/>
      <c r="E10" s="100"/>
      <c r="F10" s="100"/>
      <c r="G10" s="100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50</v>
      </c>
      <c r="M10" s="96"/>
    </row>
    <row r="11" spans="1:17" s="69" customFormat="1" x14ac:dyDescent="0.25">
      <c r="A11"/>
      <c r="B11">
        <f>VLOOKUP($D$11,FiletageMetriqueExt,3,FALSE)</f>
        <v>6.75</v>
      </c>
      <c r="C11" t="s">
        <v>23</v>
      </c>
      <c r="D11" s="128">
        <v>8</v>
      </c>
      <c r="E11">
        <v>10</v>
      </c>
      <c r="F11">
        <v>8</v>
      </c>
      <c r="G11"/>
      <c r="H11">
        <f>VLOOKUP($D$11,FiletageMetriqueExt,4,FALSE)</f>
        <v>10</v>
      </c>
      <c r="I11">
        <f>VLOOKUP($D$11,FiletageMetriqueExt,2,FALSE)</f>
        <v>1.25</v>
      </c>
      <c r="J11">
        <v>1</v>
      </c>
      <c r="K11">
        <f>ROUNDDOWN((1000*$H$11)/(PI()*$B$11),0)</f>
        <v>471</v>
      </c>
      <c r="L11">
        <f>ROUNDDOWN(I11*J11*K11,0)</f>
        <v>588</v>
      </c>
      <c r="M11" s="129">
        <f>((E11/L11)*F11+F11*0.08)*60</f>
        <v>46.563265306122453</v>
      </c>
      <c r="N11" t="s">
        <v>155</v>
      </c>
      <c r="O11" s="71"/>
    </row>
    <row r="12" spans="1:17" s="69" customFormat="1" x14ac:dyDescent="0.25">
      <c r="A12"/>
      <c r="B12">
        <v>6.75</v>
      </c>
      <c r="C12" t="s">
        <v>22</v>
      </c>
      <c r="D12" s="130">
        <v>6.75</v>
      </c>
      <c r="E12">
        <v>10</v>
      </c>
      <c r="F12">
        <v>8</v>
      </c>
      <c r="G12"/>
      <c r="H12">
        <f>INDEX(PercageExt,MATCH($B$12,Percage,1),4)</f>
        <v>90</v>
      </c>
      <c r="I12">
        <f>INDEX(PercageExt,MATCH($B$12,Percage,1),3)</f>
        <v>0.1</v>
      </c>
      <c r="J12">
        <f>INDEX(PercageExt,MATCH($B$12,Percage,1),2)</f>
        <v>1</v>
      </c>
      <c r="K12">
        <f>ROUNDDOWN((1000*$H$12)/(PI()*$B$12),0)</f>
        <v>4244</v>
      </c>
      <c r="L12">
        <f>ROUNDDOWN(I12*J12*K12,0)</f>
        <v>424</v>
      </c>
      <c r="M12" s="129">
        <f>((E12/L12)*F12+F12*0.08)*60</f>
        <v>49.720754716981133</v>
      </c>
      <c r="N12" t="s">
        <v>155</v>
      </c>
    </row>
    <row r="13" spans="1:17" s="69" customFormat="1" x14ac:dyDescent="0.25">
      <c r="A13"/>
      <c r="B13">
        <f>VLOOKUP($D$13,FiletageMetriqueExt,3,FALSE)</f>
        <v>8.5</v>
      </c>
      <c r="C13" t="s">
        <v>23</v>
      </c>
      <c r="D13" s="128">
        <v>10</v>
      </c>
      <c r="E13">
        <v>10</v>
      </c>
      <c r="F13">
        <v>2</v>
      </c>
      <c r="G13"/>
      <c r="H13">
        <f>VLOOKUP($D$13,FiletageMetriqueExt,4,FALSE)</f>
        <v>10</v>
      </c>
      <c r="I13">
        <f>VLOOKUP($D$13,FiletageMetriqueExt,2,FALSE)</f>
        <v>1.5</v>
      </c>
      <c r="J13">
        <v>1</v>
      </c>
      <c r="K13">
        <f>ROUNDDOWN((1000*$H$13)/(PI()*$B$13),0)</f>
        <v>374</v>
      </c>
      <c r="L13">
        <f>ROUNDDOWN(I13*J13*K13,0)</f>
        <v>561</v>
      </c>
      <c r="M13" s="129">
        <f>((E13/L13)*F13+F13*0.08)*60</f>
        <v>11.73903743315508</v>
      </c>
      <c r="N13" t="s">
        <v>155</v>
      </c>
      <c r="Q13" s="72"/>
    </row>
    <row r="14" spans="1:17" s="69" customFormat="1" x14ac:dyDescent="0.25">
      <c r="A14"/>
      <c r="B14">
        <v>8.5</v>
      </c>
      <c r="C14" t="s">
        <v>22</v>
      </c>
      <c r="D14" s="130">
        <v>8.5</v>
      </c>
      <c r="E14">
        <v>10</v>
      </c>
      <c r="F14">
        <v>2</v>
      </c>
      <c r="G14"/>
      <c r="H14">
        <f>INDEX(PercageExt,MATCH($B$14,Percage,1),4)</f>
        <v>90</v>
      </c>
      <c r="I14">
        <f>INDEX(PercageExt,MATCH($B$14,Percage,1),3)</f>
        <v>0.1</v>
      </c>
      <c r="J14">
        <f>INDEX(PercageExt,MATCH($B$14,Percage,1),2)</f>
        <v>1</v>
      </c>
      <c r="K14">
        <f>ROUNDDOWN((1000*$H$14)/(PI()*$B$14),0)</f>
        <v>3370</v>
      </c>
      <c r="L14">
        <f>ROUNDDOWN(I14*J14*K14,0)</f>
        <v>337</v>
      </c>
      <c r="M14" s="129">
        <f>((E14/L14)*F14+F14*0.08)*60</f>
        <v>13.160830860534125</v>
      </c>
      <c r="N14" t="s">
        <v>155</v>
      </c>
      <c r="Q14" s="72"/>
    </row>
    <row r="15" spans="1:17" s="69" customFormat="1" x14ac:dyDescent="0.25">
      <c r="A15"/>
      <c r="B15">
        <v>10</v>
      </c>
      <c r="C15" t="s">
        <v>22</v>
      </c>
      <c r="D15" s="130">
        <v>10</v>
      </c>
      <c r="E15">
        <v>10</v>
      </c>
      <c r="F15">
        <v>4</v>
      </c>
      <c r="G15"/>
      <c r="H15">
        <f>INDEX(PercageExt,MATCH($B$15,Percage,1),4)</f>
        <v>90</v>
      </c>
      <c r="I15">
        <f>INDEX(PercageExt,MATCH($B$15,Percage,1),3)</f>
        <v>0.1</v>
      </c>
      <c r="J15">
        <f>INDEX(PercageExt,MATCH($B$15,Percage,1),2)</f>
        <v>1</v>
      </c>
      <c r="K15">
        <f>ROUNDDOWN((1000*$H$15)/(PI()*$B$15),0)</f>
        <v>2864</v>
      </c>
      <c r="L15">
        <f>ROUNDDOWN(I15*J15*K15,0)</f>
        <v>286</v>
      </c>
      <c r="M15" s="129">
        <f>((E15/L15)*F15+F15*0.08)*60</f>
        <v>27.591608391608389</v>
      </c>
      <c r="N15" t="s">
        <v>155</v>
      </c>
      <c r="Q15" s="72"/>
    </row>
    <row r="16" spans="1:17" s="69" customFormat="1" x14ac:dyDescent="0.25">
      <c r="A16"/>
      <c r="B16">
        <v>9</v>
      </c>
      <c r="C16" t="s">
        <v>22</v>
      </c>
      <c r="D16" s="130">
        <v>9</v>
      </c>
      <c r="E16">
        <v>10</v>
      </c>
      <c r="F16">
        <v>2</v>
      </c>
      <c r="G16"/>
      <c r="H16">
        <f>INDEX(PercageExt,MATCH($B$16,Percage,1),4)</f>
        <v>90</v>
      </c>
      <c r="I16">
        <f>INDEX(PercageExt,MATCH($B$16,Percage,1),3)</f>
        <v>0.1</v>
      </c>
      <c r="J16">
        <f>INDEX(PercageExt,MATCH($B$16,Percage,1),2)</f>
        <v>1</v>
      </c>
      <c r="K16">
        <f>ROUNDDOWN((1000*$H$16)/(PI()*$B$16),0)</f>
        <v>3183</v>
      </c>
      <c r="L16">
        <f>ROUNDDOWN(I16*J16*K16,0)</f>
        <v>318</v>
      </c>
      <c r="M16" s="129">
        <f>((E16/L16)*F16+F16*0.08)*60</f>
        <v>13.373584905660378</v>
      </c>
      <c r="N16" t="s">
        <v>155</v>
      </c>
      <c r="Q16" s="73"/>
    </row>
    <row r="17" spans="1:17" s="69" customFormat="1" x14ac:dyDescent="0.25">
      <c r="A17"/>
      <c r="B17">
        <v>32</v>
      </c>
      <c r="C17" t="s">
        <v>25</v>
      </c>
      <c r="D17" s="130">
        <v>32</v>
      </c>
      <c r="E17">
        <v>20</v>
      </c>
      <c r="F17">
        <f>ROUNDUP((10/ VLOOKUP($B$17,ContournageExt,5,FALSE)),0)* 1+2</f>
        <v>7</v>
      </c>
      <c r="G17"/>
      <c r="H17">
        <f>VLOOKUP($B$17,ContournageExt,4,FALSE)</f>
        <v>200</v>
      </c>
      <c r="I17">
        <f>VLOOKUP($B$17,ContournageExt,3,FALSE)</f>
        <v>0.3</v>
      </c>
      <c r="J17">
        <f>VLOOKUP($B$17,ContournageExt,2,FALSE)</f>
        <v>3</v>
      </c>
      <c r="K17">
        <f>ROUNDDOWN((1000*$H$17)/(PI()*$B$17),0)</f>
        <v>1989</v>
      </c>
      <c r="L17">
        <f>ROUNDDOWN(I17*J17*K17,0)</f>
        <v>1790</v>
      </c>
      <c r="M17" s="129">
        <f>((E17/L17)*F17+F17*0.08)*60</f>
        <v>38.292737430167605</v>
      </c>
      <c r="N17" t="s">
        <v>155</v>
      </c>
      <c r="Q17" s="74"/>
    </row>
    <row r="18" spans="1:17" s="69" customFormat="1" x14ac:dyDescent="0.25">
      <c r="A18"/>
      <c r="B18">
        <v>32</v>
      </c>
      <c r="C18" t="s">
        <v>25</v>
      </c>
      <c r="D18" s="130">
        <v>32</v>
      </c>
      <c r="E18">
        <v>9</v>
      </c>
      <c r="F18">
        <f>ROUNDUP((10/ VLOOKUP($B$18,ContournageExt,5,FALSE)),0)* 1+2</f>
        <v>7</v>
      </c>
      <c r="G18"/>
      <c r="H18">
        <f>VLOOKUP($B$18,ContournageExt,4,FALSE)</f>
        <v>200</v>
      </c>
      <c r="I18">
        <f>VLOOKUP($B$18,ContournageExt,3,FALSE)</f>
        <v>0.3</v>
      </c>
      <c r="J18">
        <f>VLOOKUP($B$18,ContournageExt,2,FALSE)</f>
        <v>3</v>
      </c>
      <c r="K18">
        <f>ROUNDDOWN((1000*$H$18)/(PI()*$B$18),0)</f>
        <v>1989</v>
      </c>
      <c r="L18">
        <f>ROUNDDOWN(I18*J18*K18,0)</f>
        <v>1790</v>
      </c>
      <c r="M18" s="129">
        <f>((E18/L18)*F18+F18*0.08)*60</f>
        <v>35.711731843575421</v>
      </c>
      <c r="N18" t="s">
        <v>155</v>
      </c>
    </row>
    <row r="19" spans="1:17" s="69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7" s="69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9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9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9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9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9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9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9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9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9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9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9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9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2"/>
    </row>
    <row r="33" spans="1:15" s="69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2"/>
    </row>
    <row r="34" spans="1:15" s="69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3"/>
    </row>
    <row r="35" spans="1:15" s="69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9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9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9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9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9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9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9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9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9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9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9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9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9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9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9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9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9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9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9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9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9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9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9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9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9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9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9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9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9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9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9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9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9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9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9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9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9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9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9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9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9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9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9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9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9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9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9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9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9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9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9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9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9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9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9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9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9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9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9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9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9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9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9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9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9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mergeCells count="6">
    <mergeCell ref="M9:M10"/>
    <mergeCell ref="C9:C10"/>
    <mergeCell ref="D9:D10"/>
    <mergeCell ref="E9:E10"/>
    <mergeCell ref="F9:F10"/>
    <mergeCell ref="G9:G10"/>
  </mergeCells>
  <dataValidations count="11">
    <dataValidation type="list" allowBlank="1" showInputMessage="1" showErrorMessage="1" sqref="A1">
      <formula1>Operations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2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3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6">
      <formula1>Operations</formula1>
    </dataValidation>
    <dataValidation type="list" allowBlank="1" showInputMessage="1" showErrorMessage="1" errorTitle="Erreur" error="Vous devez choisir une opération dans la liste" sqref="C17">
      <formula1>Operations</formula1>
    </dataValidation>
    <dataValidation type="list" allowBlank="1" showInputMessage="1" showErrorMessage="1" errorTitle="Erreur" error="Vous devez choisir une opération dans la liste" sqref="C18">
      <formula1>Operations</formula1>
    </dataValidation>
    <dataValidation type="list" allowBlank="1" showInputMessage="1" showErrorMessage="1" errorTitle="Erreur" error="Vous devez choisir une opération dans la liste" sqref="C19">
      <formula1>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veCS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CTT_Cliquer">
                <anchor moveWithCells="1" sizeWithCells="1">
                  <from>
                    <xdr:col>3</xdr:col>
                    <xdr:colOff>276225</xdr:colOff>
                    <xdr:row>5</xdr:row>
                    <xdr:rowOff>95250</xdr:rowOff>
                  </from>
                  <to>
                    <xdr:col>4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B1" workbookViewId="0">
      <selection activeCell="X4" sqref="X4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8" width="0" hidden="1" customWidth="1"/>
    <col min="9" max="9" width="17.5703125" hidden="1" customWidth="1"/>
    <col min="10" max="10" width="12.140625" hidden="1" customWidth="1"/>
    <col min="11" max="11" width="7.28515625" hidden="1" customWidth="1"/>
    <col min="12" max="12" width="8" hidden="1" customWidth="1"/>
    <col min="13" max="13" width="0" hidden="1" customWidth="1"/>
    <col min="14" max="14" width="12.7109375" hidden="1" customWidth="1"/>
    <col min="15" max="15" width="0" style="17" hidden="1" customWidth="1"/>
    <col min="16" max="17" width="0" hidden="1" customWidth="1"/>
    <col min="18" max="18" width="14.140625" hidden="1" customWidth="1"/>
    <col min="19" max="19" width="20.85546875" hidden="1" customWidth="1"/>
    <col min="20" max="21" width="0" hidden="1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20" t="s">
        <v>22</v>
      </c>
      <c r="I1" s="120"/>
      <c r="J1" s="120"/>
      <c r="K1" s="120"/>
      <c r="L1" s="120"/>
      <c r="N1" s="119" t="s">
        <v>29</v>
      </c>
      <c r="O1" s="119"/>
      <c r="P1" s="119"/>
      <c r="Q1" s="18"/>
      <c r="R1" s="119" t="s">
        <v>44</v>
      </c>
      <c r="S1" s="119"/>
      <c r="T1" s="119"/>
      <c r="U1" s="19"/>
      <c r="V1" s="119" t="s">
        <v>22</v>
      </c>
      <c r="W1" s="119"/>
      <c r="X1" s="119"/>
      <c r="Y1" s="119"/>
      <c r="AA1" s="119" t="s">
        <v>23</v>
      </c>
      <c r="AB1" s="119"/>
      <c r="AC1" s="119"/>
      <c r="AD1" s="119"/>
      <c r="AE1" s="119"/>
      <c r="AF1" s="119"/>
      <c r="AG1" s="119"/>
      <c r="AI1" s="119" t="s">
        <v>24</v>
      </c>
      <c r="AJ1" s="119"/>
      <c r="AK1" s="119"/>
      <c r="AL1" s="119"/>
      <c r="AM1" s="119"/>
      <c r="AO1" s="119" t="s">
        <v>25</v>
      </c>
      <c r="AP1" s="119"/>
      <c r="AQ1" s="119"/>
      <c r="AR1" s="119"/>
      <c r="AS1" s="119"/>
      <c r="AU1" s="119" t="s">
        <v>26</v>
      </c>
      <c r="AV1" s="119"/>
      <c r="AW1" s="119"/>
      <c r="AX1" s="119"/>
      <c r="AZ1" s="119" t="s">
        <v>27</v>
      </c>
      <c r="BA1" s="119"/>
      <c r="BB1" s="119"/>
      <c r="BC1" s="119"/>
    </row>
    <row r="2" spans="1:55" ht="15.75" thickBot="1" x14ac:dyDescent="0.3">
      <c r="A2" t="s">
        <v>28</v>
      </c>
      <c r="C2" t="s">
        <v>38</v>
      </c>
      <c r="D2" t="s">
        <v>90</v>
      </c>
      <c r="F2" t="s">
        <v>44</v>
      </c>
      <c r="H2" s="105" t="s">
        <v>0</v>
      </c>
      <c r="I2" s="1" t="s">
        <v>1</v>
      </c>
      <c r="J2" s="107" t="s">
        <v>2</v>
      </c>
      <c r="K2" s="108"/>
      <c r="L2" s="109"/>
      <c r="N2" t="s">
        <v>42</v>
      </c>
      <c r="O2" s="17" t="s">
        <v>43</v>
      </c>
      <c r="P2" t="s">
        <v>90</v>
      </c>
      <c r="R2" t="s">
        <v>3</v>
      </c>
      <c r="S2" t="s">
        <v>4</v>
      </c>
      <c r="T2" t="s">
        <v>5</v>
      </c>
      <c r="V2" t="s">
        <v>79</v>
      </c>
      <c r="W2" t="s">
        <v>81</v>
      </c>
      <c r="X2" t="s">
        <v>82</v>
      </c>
      <c r="Y2" t="s">
        <v>80</v>
      </c>
      <c r="AA2" t="s">
        <v>53</v>
      </c>
      <c r="AB2" t="s">
        <v>77</v>
      </c>
      <c r="AC2" t="s">
        <v>78</v>
      </c>
      <c r="AD2" t="s">
        <v>41</v>
      </c>
      <c r="AE2" t="s">
        <v>54</v>
      </c>
      <c r="AF2" t="s">
        <v>92</v>
      </c>
      <c r="AG2" t="s">
        <v>93</v>
      </c>
      <c r="AI2" t="s">
        <v>79</v>
      </c>
      <c r="AJ2" t="s">
        <v>81</v>
      </c>
      <c r="AK2" t="s">
        <v>82</v>
      </c>
      <c r="AL2" t="s">
        <v>80</v>
      </c>
      <c r="AM2" t="s">
        <v>83</v>
      </c>
      <c r="AO2" t="s">
        <v>79</v>
      </c>
      <c r="AP2" t="s">
        <v>84</v>
      </c>
      <c r="AQ2" t="s">
        <v>82</v>
      </c>
      <c r="AR2" t="s">
        <v>80</v>
      </c>
      <c r="AS2" t="s">
        <v>83</v>
      </c>
      <c r="AU2" t="s">
        <v>91</v>
      </c>
      <c r="AV2" t="s">
        <v>84</v>
      </c>
      <c r="AW2" t="s">
        <v>82</v>
      </c>
      <c r="AX2" t="s">
        <v>80</v>
      </c>
      <c r="AZ2" t="s">
        <v>79</v>
      </c>
      <c r="BA2" t="s">
        <v>84</v>
      </c>
      <c r="BB2" t="s">
        <v>82</v>
      </c>
      <c r="BC2" t="s">
        <v>80</v>
      </c>
    </row>
    <row r="3" spans="1:55" ht="45.75" thickBot="1" x14ac:dyDescent="0.3">
      <c r="A3" t="s">
        <v>85</v>
      </c>
      <c r="C3" t="s">
        <v>34</v>
      </c>
      <c r="D3" t="s">
        <v>36</v>
      </c>
      <c r="F3" t="s">
        <v>3</v>
      </c>
      <c r="H3" s="106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55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10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56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</row>
    <row r="5" spans="1:55" ht="30.75" thickBot="1" x14ac:dyDescent="0.3">
      <c r="A5" t="s">
        <v>27</v>
      </c>
      <c r="F5" t="s">
        <v>5</v>
      </c>
      <c r="H5" s="111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57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111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58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2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76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59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3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60</v>
      </c>
      <c r="AF9">
        <v>1.8140000000000001</v>
      </c>
      <c r="AG9">
        <v>28.25</v>
      </c>
    </row>
    <row r="10" spans="1:55" ht="30.75" thickBot="1" x14ac:dyDescent="0.3">
      <c r="H10" s="114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61</v>
      </c>
      <c r="AF10">
        <v>2.3090000000000002</v>
      </c>
      <c r="AG10">
        <v>30.75</v>
      </c>
    </row>
    <row r="11" spans="1:55" ht="45.75" thickBot="1" x14ac:dyDescent="0.3">
      <c r="H11" s="115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62</v>
      </c>
      <c r="AF11">
        <v>2.3090000000000002</v>
      </c>
      <c r="AG11">
        <v>39.5</v>
      </c>
    </row>
    <row r="12" spans="1:55" ht="75.75" thickBot="1" x14ac:dyDescent="0.3">
      <c r="H12" s="116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63</v>
      </c>
      <c r="AF12">
        <v>2.3090000000000002</v>
      </c>
      <c r="AG12">
        <v>45.24</v>
      </c>
    </row>
    <row r="13" spans="1:55" ht="90.75" thickBot="1" x14ac:dyDescent="0.3">
      <c r="H13" s="117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64</v>
      </c>
      <c r="AF13">
        <v>2.3090000000000002</v>
      </c>
      <c r="AG13">
        <v>51</v>
      </c>
    </row>
    <row r="14" spans="1:55" ht="60.75" thickBot="1" x14ac:dyDescent="0.3">
      <c r="H14" s="118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65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2" t="s">
        <v>21</v>
      </c>
      <c r="K15" s="103"/>
      <c r="L15" s="104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66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67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68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69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70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71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72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73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74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75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AU1:AX1"/>
    <mergeCell ref="AO1:AS1"/>
    <mergeCell ref="H1:L1"/>
    <mergeCell ref="AZ1:BC1"/>
    <mergeCell ref="R1:T1"/>
    <mergeCell ref="AA1:AG1"/>
    <mergeCell ref="N1:P1"/>
    <mergeCell ref="AI1:AM1"/>
    <mergeCell ref="V1:Y1"/>
    <mergeCell ref="J15:L15"/>
    <mergeCell ref="H2:H3"/>
    <mergeCell ref="J2:L2"/>
    <mergeCell ref="H4:H7"/>
    <mergeCell ref="H9:H11"/>
    <mergeCell ref="H12:H14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J3" sqref="J3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1" t="s">
        <v>124</v>
      </c>
      <c r="B1" s="121"/>
      <c r="C1" s="121"/>
      <c r="D1" s="121"/>
      <c r="E1" s="121"/>
      <c r="F1" s="121"/>
      <c r="G1" s="121"/>
      <c r="J1" s="36" t="s">
        <v>125</v>
      </c>
      <c r="K1" s="36" t="s">
        <v>126</v>
      </c>
    </row>
    <row r="2" spans="1:15" ht="15.75" thickBot="1" x14ac:dyDescent="0.3">
      <c r="A2" s="37" t="s">
        <v>127</v>
      </c>
      <c r="B2" s="122">
        <v>499</v>
      </c>
      <c r="C2" s="124">
        <v>999</v>
      </c>
      <c r="D2" s="124">
        <v>1499</v>
      </c>
      <c r="E2" s="124">
        <v>1999</v>
      </c>
      <c r="F2" s="124">
        <v>3999</v>
      </c>
      <c r="G2" s="126">
        <v>8000</v>
      </c>
      <c r="J2" s="24">
        <f>'Calcul Sequence'!G2</f>
        <v>850</v>
      </c>
      <c r="K2" s="24">
        <f>'Calcul Sequence'!G1</f>
        <v>23</v>
      </c>
    </row>
    <row r="3" spans="1:15" ht="15.75" thickBot="1" x14ac:dyDescent="0.3">
      <c r="A3" s="38" t="s">
        <v>128</v>
      </c>
      <c r="B3" s="123"/>
      <c r="C3" s="125"/>
      <c r="D3" s="125"/>
      <c r="E3" s="125"/>
      <c r="F3" s="125"/>
      <c r="G3" s="127"/>
      <c r="J3" s="24">
        <f>HLOOKUP(J2,B2:G2,1)</f>
        <v>499</v>
      </c>
      <c r="K3" s="24">
        <f>VLOOKUP(K2,A4:A13,1)</f>
        <v>20</v>
      </c>
      <c r="L3" s="24" t="s">
        <v>129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>
        <f>MATCH(J3,B2:G2)+1</f>
        <v>2</v>
      </c>
      <c r="K4" s="24">
        <f>MATCH(K3,A4:A13,1)+1</f>
        <v>6</v>
      </c>
      <c r="L4" s="24" t="s">
        <v>130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>
        <f>INDEX(B4:G13,K4,J4)</f>
        <v>0.75</v>
      </c>
      <c r="K6" s="24">
        <f>IF(ISNA(J6),0, ROUNDUP( J6/0.036,0))</f>
        <v>21</v>
      </c>
      <c r="L6" s="24" t="s">
        <v>131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32</v>
      </c>
      <c r="L7" s="24" t="s">
        <v>132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23</v>
      </c>
      <c r="K10" s="24">
        <f>ROUNDUP(-0.0019*J10+1.03*J10+0.2414,0)</f>
        <v>24</v>
      </c>
      <c r="L10" s="24">
        <f>K10*0.036</f>
        <v>0.86399999999999988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19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Calcul Sequence</vt:lpstr>
      <vt:lpstr>Calcul Temps Technique</vt:lpstr>
      <vt:lpstr>Abaques</vt:lpstr>
      <vt:lpstr>Manutention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2014-11-05T15:39:14Z</cp:lastPrinted>
  <dcterms:created xsi:type="dcterms:W3CDTF">2014-11-03T07:49:22Z</dcterms:created>
  <dcterms:modified xsi:type="dcterms:W3CDTF">2014-11-07T09:40:29Z</dcterms:modified>
</cp:coreProperties>
</file>