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2" i="1" l="1"/>
  <c r="M13" i="1"/>
  <c r="M14" i="1"/>
  <c r="M11" i="1"/>
  <c r="L14" i="1" l="1"/>
  <c r="K14" i="1"/>
  <c r="J14" i="1"/>
  <c r="I14" i="1"/>
  <c r="H14" i="1"/>
  <c r="L13" i="1"/>
  <c r="K13" i="1"/>
  <c r="I13" i="1"/>
  <c r="H13" i="1"/>
  <c r="B13" i="1"/>
  <c r="L12" i="1"/>
  <c r="K12" i="1"/>
  <c r="J12" i="1"/>
  <c r="I12" i="1"/>
  <c r="H12" i="1"/>
  <c r="L11" i="1"/>
  <c r="K11" i="1"/>
  <c r="I11" i="1"/>
  <c r="H11" i="1"/>
  <c r="B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<sst xmlns="http://schemas.openxmlformats.org/spreadsheetml/2006/main" count="211" uniqueCount="156">
  <si>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</si>
  <si>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</si>
  <si>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</si>
  <si>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</si>
  <si>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</si>
  <si>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</si>
  <si>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</si>
  <si>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</si>
  <si>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</si>
  <si>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</si>
  <si>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</si>
  <si>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</si>
  <si>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</si>
  <si>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</si>
  <si>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</si>
  <si>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</si>
  <si>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</si>
  <si>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</si>
  <si>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</si>
  <si>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</si>
  <si>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</si>
  <si>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</si>
  <si>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</si>
  <si>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</si>
  <si>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</si>
  <si>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</si>
  <si>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</si>
  <si>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</si>
  <si>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</si>
  <si>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</si>
  <si>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</si>
  <si>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</si>
  <si>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</si>
  <si>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</si>
  <si>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</si>
  <si>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</si>
  <si>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</si>
  <si>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</si>
  <si>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</si>
  <si>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</si>
  <si>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</si>
  <si>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</si>
  <si>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</si>
  <si>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</si>
  <si>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</si>
  <si>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</si>
  <si>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</si>
  <si>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</si>
  <si>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</si>
  <si>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</si>
  <si>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</si>
  <si>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</si>
  <si>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</si>
  <si>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</si>
  <si>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</si>
  <si>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</si>
  <si>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</si>
  <si>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</si>
  <si>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</si>
  <si>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</si>
  <si>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</si>
  <si>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</si>
  <si>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</si>
  <si>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</si>
  <si>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</si>
  <si>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</si>
  <si>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</si>
  <si>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</si>
  <si>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</si>
  <si>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</si>
  <si>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</si>
  <si>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</si>
  <si>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</si>
  <si>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</si>
  <si>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</si>
  <si>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</si>
  <si>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</si>
  <si>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</si>
  <si>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</si>
  <si>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</si>
  <si>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</si>
  <si>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</si>
  <si>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</si>
  <si>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</si>
  <si>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</si>
  <si>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</si>
  <si>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</si>
  <si>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</si>
  <si>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</si>
  <si>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</si>
  <si>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</si>
  <si>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</si>
  <si>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</si>
  <si>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</si>
  <si>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</si>
  <si>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</si>
  <si>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</si>
  <si>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</si>
  <si>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</si>
  <si>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</si>
  <si>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</si>
  <si>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</si>
  <si>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</si>
  <si>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</si>
  <si>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</si>
  <si>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</si>
  <si>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</si>
  <si>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</si>
  <si>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</si>
  <si>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</si>
  <si>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</si>
  <si>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</si>
  <si>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</si>
  <si>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</si>
  <si>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</si>
  <si>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</si>
  <si>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</si>
  <si>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</si>
  <si>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</si>
  <si>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</si>
  <si>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</si>
  <si>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</si>
  <si>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</si>
  <si>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</si>
  <si>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</si>
  <si>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</si>
  <si>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</si>
  <si>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</si>
  <si>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</si>
  <si>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</si>
  <si>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</si>
  <si>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</si>
  <si>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</si>
  <si>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</si>
  <si>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</si>
  <si>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</si>
  <si>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</si>
  <si>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</si>
  <si>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</si>
  <si>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</si>
  <si>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</si>
  <si>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</si>
  <si>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</si>
  <si>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</si>
  <si>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</si>
  <si>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</si>
  <si>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</si>
  <si>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</si>
  <si>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</si>
  <si>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</si>
  <si>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</si>
  <si>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</si>
  <si>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</si>
  <si>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</si>
  <si>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303148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</si>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</sst>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M#.00"/>
    <numFmt numFmtId="168" formatCode="#\ ##0.00"/>
    <numFmt numFmtId="169" formatCode="\Ø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1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161925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B18" sqref="B18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3" t="str">
        <f>'Calcul Temps Technique'!D3</f>
        <v>303148</v>
      </c>
      <c r="C1" s="97" t="s">
        <v>102</v>
      </c>
      <c r="D1" s="97"/>
      <c r="E1" s="97"/>
      <c r="F1" s="97"/>
      <c r="G1" s="84">
        <v>0.7</v>
      </c>
      <c r="H1" s="85"/>
      <c r="I1" s="85"/>
      <c r="J1" s="86"/>
      <c r="K1" s="28"/>
      <c r="L1" s="92" t="s">
        <v>145</v>
      </c>
      <c r="M1" s="92"/>
      <c r="N1" s="92"/>
      <c r="O1" s="92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4"/>
      <c r="C2" s="97" t="s">
        <v>104</v>
      </c>
      <c r="D2" s="97"/>
      <c r="E2" s="97"/>
      <c r="F2" s="97"/>
      <c r="G2" s="87">
        <v>150</v>
      </c>
      <c r="H2" s="88"/>
      <c r="I2" s="88"/>
      <c r="J2" s="89"/>
      <c r="K2" s="28"/>
      <c r="L2" s="64" t="s">
        <v>103</v>
      </c>
      <c r="M2" s="64"/>
      <c r="N2" s="64"/>
      <c r="O2" s="25">
        <f>SUM(O21:O32)</f>
        <v>970.08058620624661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16.16800977010411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3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81">
        <f>'Calcul Temps Technique'!D4</f>
        <v>10</v>
      </c>
      <c r="D5" s="81"/>
      <c r="E5" s="81"/>
      <c r="F5" s="81"/>
      <c r="G5" s="81"/>
      <c r="H5" s="28"/>
      <c r="I5" s="28"/>
      <c r="J5" s="28"/>
      <c r="K5" s="28"/>
      <c r="L5" s="92" t="s">
        <v>146</v>
      </c>
      <c r="M5" s="92"/>
      <c r="N5" s="92"/>
      <c r="O5" s="92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81">
        <f>'Calcul Temps Technique'!D5</f>
        <v>6</v>
      </c>
      <c r="D6" s="81"/>
      <c r="E6" s="81"/>
      <c r="F6" s="81"/>
      <c r="G6" s="81"/>
      <c r="H6" s="31"/>
      <c r="I6" s="28"/>
      <c r="J6" s="28"/>
      <c r="K6" s="28"/>
      <c r="L6" s="64" t="s">
        <v>103</v>
      </c>
      <c r="M6" s="64"/>
      <c r="N6" s="64"/>
      <c r="O6" s="25">
        <f>O26</f>
        <v>666.60058620624659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84">
        <v>6</v>
      </c>
      <c r="D7" s="85"/>
      <c r="E7" s="85"/>
      <c r="F7" s="85"/>
      <c r="G7" s="86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303.48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7">
        <v>8</v>
      </c>
      <c r="D8" s="88"/>
      <c r="E8" s="88"/>
      <c r="F8" s="88"/>
      <c r="G8" s="89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11.11000977010411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5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82" t="s">
        <v>137</v>
      </c>
      <c r="D19" s="83"/>
      <c r="E19" s="83"/>
      <c r="F19" s="83" t="s">
        <v>107</v>
      </c>
      <c r="G19" s="83"/>
      <c r="H19" s="83"/>
      <c r="I19" s="83" t="s">
        <v>108</v>
      </c>
      <c r="J19" s="83"/>
      <c r="K19" s="52" t="s">
        <v>109</v>
      </c>
      <c r="L19" s="52" t="s">
        <v>110</v>
      </c>
      <c r="M19" s="53" t="s">
        <v>111</v>
      </c>
      <c r="N19" s="83" t="s">
        <v>52</v>
      </c>
      <c r="O19" s="95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96" t="s">
        <v>11</v>
      </c>
      <c r="J20" s="96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1</v>
      </c>
      <c r="F21" s="33">
        <f>Manutention!$K$11</f>
        <v>1</v>
      </c>
      <c r="G21" s="33">
        <v>1</v>
      </c>
      <c r="H21" s="33">
        <v>3</v>
      </c>
      <c r="I21" s="90"/>
      <c r="J21" s="90"/>
      <c r="K21" s="33"/>
      <c r="L21" s="33"/>
      <c r="M21" s="33">
        <f>$C$6</f>
        <v>6</v>
      </c>
      <c r="N21" s="50">
        <f>IF(ISBLANK(L21),(C21+D21+E21+F21+G21+H21+I21+K21)*10,L21/0.036)*IF(ISBLANK(M21),1,M21)</f>
        <v>780</v>
      </c>
      <c r="O21" s="56">
        <f>N21*0.036</f>
        <v>28.08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90"/>
      <c r="J22" s="90"/>
      <c r="K22" s="33"/>
      <c r="L22" s="33"/>
      <c r="M22" s="33">
        <f t="shared" ref="M22" si="0">$C$6</f>
        <v>6</v>
      </c>
      <c r="N22" s="50">
        <f t="shared" ref="N22:N32" si="1">IF(ISBLANK(L22),(C22+D22+E22+F22+G22+H22+I22+K22)*10,L22/0.036)*IF(ISBLANK(M22),1,M22)</f>
        <v>600</v>
      </c>
      <c r="O22" s="56">
        <f t="shared" ref="O22:O32" si="2">N22*0.036</f>
        <v>21.599999999999998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90"/>
      <c r="J23" s="90"/>
      <c r="K23" s="33"/>
      <c r="L23" s="33"/>
      <c r="M23" s="33">
        <f>$C$7</f>
        <v>6</v>
      </c>
      <c r="N23" s="50">
        <f t="shared" si="1"/>
        <v>1740</v>
      </c>
      <c r="O23" s="56">
        <f t="shared" si="2"/>
        <v>62.639999999999993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90"/>
      <c r="J24" s="90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90"/>
      <c r="J25" s="90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90"/>
      <c r="J26" s="90"/>
      <c r="K26" s="33">
        <v>6</v>
      </c>
      <c r="L26" s="23">
        <f>'Calcul Temps Technique'!K5</f>
        <v>666.60058620624659</v>
      </c>
      <c r="M26" s="33">
        <v>1</v>
      </c>
      <c r="N26" s="50">
        <f t="shared" si="1"/>
        <v>18516.682950173519</v>
      </c>
      <c r="O26" s="56">
        <f t="shared" si="2"/>
        <v>666.60058620624659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90"/>
      <c r="J27" s="90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90"/>
      <c r="J28" s="90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90"/>
      <c r="J29" s="90"/>
      <c r="K29" s="33"/>
      <c r="L29" s="33"/>
      <c r="M29" s="33">
        <f>$C$7</f>
        <v>6</v>
      </c>
      <c r="N29" s="50">
        <f t="shared" si="1"/>
        <v>1440</v>
      </c>
      <c r="O29" s="56">
        <f t="shared" si="2"/>
        <v>51.839999999999996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1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90"/>
      <c r="J30" s="90"/>
      <c r="K30" s="33"/>
      <c r="L30" s="33"/>
      <c r="M30" s="33">
        <f t="shared" ref="M30:M31" si="5">$C$6</f>
        <v>6</v>
      </c>
      <c r="N30" s="50">
        <f t="shared" si="1"/>
        <v>780</v>
      </c>
      <c r="O30" s="56">
        <f t="shared" si="2"/>
        <v>28.08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1</v>
      </c>
      <c r="F31" s="33">
        <f>IF($Z$1,0,6)</f>
        <v>6</v>
      </c>
      <c r="G31" s="33">
        <f>IF($Z$1,0,3)</f>
        <v>3</v>
      </c>
      <c r="H31" s="33">
        <f>IF($Z$1,0,3)</f>
        <v>3</v>
      </c>
      <c r="I31" s="90"/>
      <c r="J31" s="90"/>
      <c r="K31" s="33"/>
      <c r="L31" s="33"/>
      <c r="M31" s="33">
        <f t="shared" si="5"/>
        <v>6</v>
      </c>
      <c r="N31" s="50">
        <f t="shared" si="1"/>
        <v>840</v>
      </c>
      <c r="O31" s="56">
        <f t="shared" si="2"/>
        <v>30.24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91"/>
      <c r="J32" s="91"/>
      <c r="K32" s="34"/>
      <c r="L32" s="34"/>
      <c r="M32" s="34">
        <f>$C$8</f>
        <v>8</v>
      </c>
      <c r="N32" s="57">
        <f t="shared" si="1"/>
        <v>1600</v>
      </c>
      <c r="O32" s="58">
        <f t="shared" si="2"/>
        <v>57.599999999999994</v>
      </c>
    </row>
  </sheetData>
  <mergeCells count="28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M11" sqref="M11:M14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99.766764367707765</v>
      </c>
      <c r="K3" s="25">
        <f>D5*J3</f>
        <v>598.60058620624659</v>
      </c>
      <c r="L3" s="25">
        <f>K3/$D$5</f>
        <v>99.766764367707765</v>
      </c>
      <c r="N3" s="21"/>
      <c r="O3" s="21"/>
    </row>
    <row r="4" spans="1:17" ht="21" x14ac:dyDescent="0.35">
      <c r="C4" s="64" t="s">
        <v>51</v>
      </c>
      <c r="D4" s="70">
        <v>10</v>
      </c>
      <c r="H4" s="64" t="s">
        <v>95</v>
      </c>
      <c r="I4" s="64"/>
      <c r="J4" s="25">
        <f>17*COUNTIF(N11:N81,"x")</f>
        <v>68</v>
      </c>
      <c r="K4" s="25">
        <f>J4</f>
        <v>68</v>
      </c>
      <c r="L4" s="25">
        <f t="shared" ref="L4:L7" si="0">K4/$D$5</f>
        <v>11.333333333333334</v>
      </c>
    </row>
    <row r="5" spans="1:17" ht="21.75" thickBot="1" x14ac:dyDescent="0.4">
      <c r="C5" s="64" t="s">
        <v>100</v>
      </c>
      <c r="D5" s="68">
        <v>6</v>
      </c>
      <c r="H5" s="64" t="s">
        <v>96</v>
      </c>
      <c r="I5" s="64"/>
      <c r="J5" s="25">
        <f>J4+J3</f>
        <v>167.76676436770776</v>
      </c>
      <c r="K5" s="25">
        <f>J4+K3</f>
        <v>666.60058620624659</v>
      </c>
      <c r="L5" s="25">
        <f t="shared" si="0"/>
        <v>111.10009770104109</v>
      </c>
    </row>
    <row r="6" spans="1:17" ht="18.75" x14ac:dyDescent="0.3">
      <c r="H6" s="64"/>
      <c r="I6" s="64"/>
      <c r="J6" s="25">
        <f>CONVERT(J5,"sec","mn")</f>
        <v>2.7961127394617962</v>
      </c>
      <c r="K6" s="25">
        <f>CONVERT(K5,"sec","mn")</f>
        <v>11.11000977010411</v>
      </c>
      <c r="L6" s="25">
        <f t="shared" si="0"/>
        <v>1.8516682950173518</v>
      </c>
    </row>
    <row r="7" spans="1:17" ht="18.75" x14ac:dyDescent="0.3">
      <c r="H7" s="64"/>
      <c r="I7" s="64"/>
      <c r="J7" s="76">
        <f>J6/24</f>
        <v>0.11650469747757485</v>
      </c>
      <c r="K7" s="76">
        <f>K6/24</f>
        <v>0.46291707375433794</v>
      </c>
      <c r="L7" s="76">
        <f t="shared" si="0"/>
        <v>7.7152845625722985E-2</v>
      </c>
    </row>
    <row r="8" spans="1:17" ht="15.75" thickBot="1" x14ac:dyDescent="0.3"/>
    <row r="9" spans="1:17" ht="18.75" x14ac:dyDescent="0.3">
      <c r="C9" s="100" t="s">
        <v>39</v>
      </c>
      <c r="D9" s="102" t="s">
        <v>40</v>
      </c>
      <c r="E9" s="104" t="s">
        <v>149</v>
      </c>
      <c r="F9" s="104" t="s">
        <v>150</v>
      </c>
      <c r="G9" s="102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8" t="s">
        <v>98</v>
      </c>
    </row>
    <row r="10" spans="1:17" ht="19.5" thickBot="1" x14ac:dyDescent="0.35">
      <c r="C10" s="101"/>
      <c r="D10" s="103"/>
      <c r="E10" s="103"/>
      <c r="F10" s="103"/>
      <c r="G10" s="103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9"/>
    </row>
    <row r="11" spans="1:17" s="69" customFormat="1" x14ac:dyDescent="0.25">
      <c r="A11"/>
      <c r="B11">
        <f>VLOOKUP($D$11,FiletageMetriqueExt,3,FALSE)</f>
        <v>6.75</v>
      </c>
      <c r="C11" t="s">
        <v>23</v>
      </c>
      <c r="D11" s="78">
        <v>8</v>
      </c>
      <c r="E11">
        <v>10</v>
      </c>
      <c r="F11">
        <v>3</v>
      </c>
      <c r="G11"/>
      <c r="H11">
        <f>VLOOKUP($D$11,FiletageMetriqueExt,4,FALSE)</f>
        <v>10</v>
      </c>
      <c r="I11">
        <f>VLOOKUP($D$11,FiletageMetriqueExt,2,FALSE)</f>
        <v>1.25</v>
      </c>
      <c r="J11">
        <v>1</v>
      </c>
      <c r="K11">
        <f>ROUNDDOWN((1000*$H$11)/(PI()*$B$11),0)</f>
        <v>471</v>
      </c>
      <c r="L11">
        <f>ROUNDDOWN(I11*J11*K11,0)</f>
        <v>588</v>
      </c>
      <c r="M11" s="79">
        <f>((E11*1.33/L11)*F11+F11*0.08)*60</f>
        <v>18.471428571428568</v>
      </c>
      <c r="N11" t="s">
        <v>155</v>
      </c>
      <c r="O11" s="71"/>
    </row>
    <row r="12" spans="1:17" s="69" customFormat="1" x14ac:dyDescent="0.25">
      <c r="A12"/>
      <c r="B12">
        <v>6.75</v>
      </c>
      <c r="C12" t="s">
        <v>22</v>
      </c>
      <c r="D12" s="80">
        <v>6.75</v>
      </c>
      <c r="E12">
        <v>10</v>
      </c>
      <c r="F12">
        <v>3</v>
      </c>
      <c r="G12"/>
      <c r="H12">
        <f>INDEX(PercageExt,MATCH($B$12,Percage,1),4)</f>
        <v>90</v>
      </c>
      <c r="I12">
        <f>INDEX(PercageExt,MATCH($B$12,Percage,1),3)</f>
        <v>0.1</v>
      </c>
      <c r="J12">
        <f>INDEX(PercageExt,MATCH($B$12,Percage,1),2)</f>
        <v>1</v>
      </c>
      <c r="K12">
        <f>ROUNDDOWN((1000*$H$12)/(PI()*$B$12),0)</f>
        <v>4244</v>
      </c>
      <c r="L12">
        <f>ROUNDDOWN(I12*J12*K12,0)</f>
        <v>424</v>
      </c>
      <c r="M12" s="79">
        <f t="shared" ref="M12:M14" si="1">((E12*1.33/L12)*F12+F12*0.08)*60</f>
        <v>20.046226415094338</v>
      </c>
      <c r="N12" t="s">
        <v>155</v>
      </c>
    </row>
    <row r="13" spans="1:17" s="69" customFormat="1" x14ac:dyDescent="0.25">
      <c r="A13"/>
      <c r="B13">
        <f>VLOOKUP($D$13,FiletageMetriqueExt,3,FALSE)</f>
        <v>5</v>
      </c>
      <c r="C13" t="s">
        <v>23</v>
      </c>
      <c r="D13" s="78">
        <v>6</v>
      </c>
      <c r="E13">
        <v>10</v>
      </c>
      <c r="F13">
        <v>5</v>
      </c>
      <c r="G13"/>
      <c r="H13">
        <f>VLOOKUP($D$13,FiletageMetriqueExt,4,FALSE)</f>
        <v>10</v>
      </c>
      <c r="I13">
        <f>VLOOKUP($D$13,FiletageMetriqueExt,2,FALSE)</f>
        <v>1</v>
      </c>
      <c r="J13">
        <v>1</v>
      </c>
      <c r="K13">
        <f>ROUNDDOWN((1000*$H$13)/(PI()*$B$13),0)</f>
        <v>636</v>
      </c>
      <c r="L13">
        <f>ROUNDDOWN(I13*J13*K13,0)</f>
        <v>636</v>
      </c>
      <c r="M13" s="79">
        <f t="shared" si="1"/>
        <v>30.273584905660375</v>
      </c>
      <c r="N13" t="s">
        <v>155</v>
      </c>
      <c r="Q13" s="72"/>
    </row>
    <row r="14" spans="1:17" s="69" customFormat="1" x14ac:dyDescent="0.25">
      <c r="A14"/>
      <c r="B14">
        <v>5</v>
      </c>
      <c r="C14" t="s">
        <v>22</v>
      </c>
      <c r="D14" s="80">
        <v>5</v>
      </c>
      <c r="E14">
        <v>10</v>
      </c>
      <c r="F14">
        <v>5</v>
      </c>
      <c r="G14"/>
      <c r="H14">
        <f>INDEX(PercageExt,MATCH($B$14,Percage,1),4)</f>
        <v>90</v>
      </c>
      <c r="I14">
        <f>INDEX(PercageExt,MATCH($B$14,Percage,1),3)</f>
        <v>0.1</v>
      </c>
      <c r="J14">
        <f>INDEX(PercageExt,MATCH($B$14,Percage,1),2)</f>
        <v>1</v>
      </c>
      <c r="K14">
        <f>ROUNDDOWN((1000*$H$14)/(PI()*$B$14),0)</f>
        <v>5729</v>
      </c>
      <c r="L14">
        <f>ROUNDDOWN(I14*J14*K14,0)</f>
        <v>572</v>
      </c>
      <c r="M14" s="79">
        <f t="shared" si="1"/>
        <v>30.975524475524477</v>
      </c>
      <c r="N14" t="s">
        <v>155</v>
      </c>
      <c r="Q14" s="72"/>
    </row>
    <row r="15" spans="1:17" s="6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2"/>
    </row>
    <row r="16" spans="1:17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3"/>
    </row>
    <row r="17" spans="1:17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4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8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CS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161925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23" t="s">
        <v>22</v>
      </c>
      <c r="I1" s="123"/>
      <c r="J1" s="123"/>
      <c r="K1" s="123"/>
      <c r="L1" s="123"/>
      <c r="N1" s="122" t="s">
        <v>29</v>
      </c>
      <c r="O1" s="122"/>
      <c r="P1" s="122"/>
      <c r="Q1" s="18"/>
      <c r="R1" s="122" t="s">
        <v>44</v>
      </c>
      <c r="S1" s="122"/>
      <c r="T1" s="122"/>
      <c r="U1" s="19"/>
      <c r="V1" s="122" t="s">
        <v>22</v>
      </c>
      <c r="W1" s="122"/>
      <c r="X1" s="122"/>
      <c r="Y1" s="122"/>
      <c r="AA1" s="122" t="s">
        <v>23</v>
      </c>
      <c r="AB1" s="122"/>
      <c r="AC1" s="122"/>
      <c r="AD1" s="122"/>
      <c r="AE1" s="122"/>
      <c r="AF1" s="122"/>
      <c r="AG1" s="122"/>
      <c r="AI1" s="122" t="s">
        <v>24</v>
      </c>
      <c r="AJ1" s="122"/>
      <c r="AK1" s="122"/>
      <c r="AL1" s="122"/>
      <c r="AM1" s="122"/>
      <c r="AO1" s="122" t="s">
        <v>25</v>
      </c>
      <c r="AP1" s="122"/>
      <c r="AQ1" s="122"/>
      <c r="AR1" s="122"/>
      <c r="AS1" s="122"/>
      <c r="AU1" s="122" t="s">
        <v>26</v>
      </c>
      <c r="AV1" s="122"/>
      <c r="AW1" s="122"/>
      <c r="AX1" s="122"/>
      <c r="AZ1" s="122" t="s">
        <v>27</v>
      </c>
      <c r="BA1" s="122"/>
      <c r="BB1" s="122"/>
      <c r="BC1" s="122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8" t="s">
        <v>0</v>
      </c>
      <c r="I2" s="1" t="s">
        <v>1</v>
      </c>
      <c r="J2" s="110" t="s">
        <v>2</v>
      </c>
      <c r="K2" s="111"/>
      <c r="L2" s="112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9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3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4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4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5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6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7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8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9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20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1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5" t="s">
        <v>21</v>
      </c>
      <c r="K15" s="106"/>
      <c r="L15" s="107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4" t="s">
        <v>124</v>
      </c>
      <c r="B1" s="124"/>
      <c r="C1" s="124"/>
      <c r="D1" s="124"/>
      <c r="E1" s="124"/>
      <c r="F1" s="124"/>
      <c r="G1" s="124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5">
        <v>499</v>
      </c>
      <c r="C2" s="127">
        <v>999</v>
      </c>
      <c r="D2" s="127">
        <v>1499</v>
      </c>
      <c r="E2" s="127">
        <v>1999</v>
      </c>
      <c r="F2" s="127">
        <v>3999</v>
      </c>
      <c r="G2" s="129">
        <v>8000</v>
      </c>
      <c r="J2" s="24">
        <f>'Calcul Sequence'!G2</f>
        <v>150</v>
      </c>
      <c r="K2" s="24">
        <f>'Calcul Sequence'!G1</f>
        <v>0.7</v>
      </c>
    </row>
    <row r="3" spans="1:15" ht="15.75" thickBot="1" x14ac:dyDescent="0.3">
      <c r="A3" s="38" t="s">
        <v>128</v>
      </c>
      <c r="B3" s="126"/>
      <c r="C3" s="128"/>
      <c r="D3" s="128"/>
      <c r="E3" s="128"/>
      <c r="F3" s="128"/>
      <c r="G3" s="130"/>
      <c r="J3" s="24" t="e">
        <f>HLOOKUP(J2,B2:G2,1)</f>
        <v>#N/A</v>
      </c>
      <c r="K3" s="24" t="e">
        <f>VLOOKUP(K2,A4:A13,1)</f>
        <v>#N/A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 t="e">
        <f>MATCH(J3,B2:G2)+1</f>
        <v>#N/A</v>
      </c>
      <c r="K4" s="24" t="e">
        <f>MATCH(K3,A4:A13,1)+1</f>
        <v>#N/A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 t="e">
        <f>INDEX(B4:G13,K4,J4)</f>
        <v>#N/A</v>
      </c>
      <c r="K6" s="24">
        <f>IF(ISNA(J6),0, ROUNDUP( J6/0.036,0))</f>
        <v>0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0.7</v>
      </c>
      <c r="K10" s="24">
        <f>ROUNDUP(-0.0019*J10+1.03*J10+0.2414,0)</f>
        <v>1</v>
      </c>
      <c r="L10" s="24">
        <f>K10*0.036</f>
        <v>3.5999999999999997E-2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2014-11-07T15:33:57Z</dcterms:modified>
</cp:coreProperties>
</file>