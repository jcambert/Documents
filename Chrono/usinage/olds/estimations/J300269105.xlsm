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380" yWindow="240" windowWidth="24780" windowHeight="12405" tabRatio="394" activeTab="1"/>
  </bookViews>
  <sheets>
    <sheet name="Calcul Sequence" sheetId="4" r:id="rId1"/>
    <sheet name="Calcul Temps Technique" sheetId="1" r:id="rId2"/>
    <sheet name="Abaques" sheetId="3" r:id="rId3"/>
    <sheet name="Manutention" sheetId="5" r:id="rId4"/>
    <sheet name="Feuille Inventaire" sheetId="6" r:id="rId5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Abaques!$AO$3:$AO$5</definedName>
    <definedName name="ContournageExt">Abaques!$AO$3:$AS$5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  <definedName name="_xlnm.Print_Area" localSheetId="1">'Calcul Temps Technique'!$C$1:$M$15</definedName>
  </definedNames>
  <calcPr calcId="145621"/>
</workbook>
</file>

<file path=xl/calcChain.xml><?xml version="1.0" encoding="utf-8"?>
<calcChain xmlns="http://schemas.openxmlformats.org/spreadsheetml/2006/main">
  <c r="M15" i="1" l="1"/>
  <c r="L15" i="1"/>
  <c r="K15" i="1"/>
  <c r="J15" i="1"/>
  <c r="I15" i="1"/>
  <c r="H15" i="1"/>
  <c r="F15" i="1"/>
  <c r="M14" i="1"/>
  <c r="L14" i="1"/>
  <c r="K14" i="1"/>
  <c r="J14" i="1"/>
  <c r="I14" i="1"/>
  <c r="H14" i="1"/>
  <c r="J13" i="1"/>
  <c r="I13" i="1"/>
  <c r="H13" i="1"/>
  <c r="K13" i="1" s="1"/>
  <c r="M12" i="1"/>
  <c r="L12" i="1"/>
  <c r="K12" i="1"/>
  <c r="J12" i="1"/>
  <c r="I12" i="1"/>
  <c r="H12" i="1"/>
  <c r="M11" i="1"/>
  <c r="L11" i="1"/>
  <c r="K11" i="1"/>
  <c r="J11" i="1"/>
  <c r="I11" i="1"/>
  <c r="H11" i="1"/>
  <c r="L13" i="1" l="1"/>
  <c r="M13" i="1" s="1"/>
  <c r="BB4" i="3"/>
  <c r="B1" i="4" l="1"/>
  <c r="M29" i="4" l="1"/>
  <c r="M23" i="4"/>
  <c r="C5" i="4" l="1"/>
  <c r="C6" i="4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O3" i="5"/>
  <c r="K10" i="5" l="1"/>
  <c r="L10" i="5" s="1"/>
  <c r="M30" i="4"/>
  <c r="M32" i="4"/>
  <c r="N32" i="4" s="1"/>
  <c r="O32" i="4" s="1"/>
  <c r="M21" i="4"/>
  <c r="M22" i="4"/>
  <c r="N22" i="4" s="1"/>
  <c r="O22" i="4" s="1"/>
  <c r="N29" i="4"/>
  <c r="O29" i="4" s="1"/>
  <c r="M31" i="4"/>
  <c r="K3" i="5"/>
  <c r="K4" i="5" s="1"/>
  <c r="J6" i="5" s="1"/>
  <c r="K6" i="5" s="1"/>
  <c r="K7" i="5" s="1"/>
  <c r="J4" i="1"/>
  <c r="K4" i="1" s="1"/>
  <c r="L4" i="1" s="1"/>
  <c r="BB3" i="3"/>
  <c r="AW3" i="3"/>
  <c r="AQ3" i="3"/>
  <c r="AQ4" i="3"/>
  <c r="AK3" i="3"/>
  <c r="AK4" i="3"/>
  <c r="AK5" i="3"/>
  <c r="AK6" i="3"/>
  <c r="K11" i="5" l="1"/>
  <c r="F21" i="4" s="1"/>
  <c r="F30" i="4" s="1"/>
  <c r="E21" i="4"/>
  <c r="E31" i="4" s="1"/>
  <c r="N31" i="4" s="1"/>
  <c r="O31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E30" i="4" l="1"/>
  <c r="N30" i="4" s="1"/>
  <c r="O30" i="4" s="1"/>
  <c r="N21" i="4"/>
  <c r="O21" i="4" s="1"/>
  <c r="K3" i="1"/>
  <c r="J5" i="1"/>
  <c r="L3" i="1" l="1"/>
  <c r="K5" i="1"/>
  <c r="L5" i="1" s="1"/>
  <c r="J6" i="1"/>
  <c r="J7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<sst xmlns="http://schemas.openxmlformats.org/spreadsheetml/2006/main" count="223" uniqueCount="164">
  <si>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</si>
  <si>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</si>
  <si>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</si>
  <si>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</si>
  <si>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</si>
  <si>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</si>
  <si>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</si>
  <si>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</si>
  <si>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</si>
  <si>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</si>
  <si>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</si>
  <si>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</si>
  <si>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</si>
  <si>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</si>
  <si>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</si>
  <si>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</si>
  <si>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</si>
  <si>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</si>
  <si>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</si>
  <si>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</si>
  <si>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</si>
  <si>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</si>
  <si>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</si>
  <si>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</si>
  <si>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</si>
  <si>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</si>
  <si>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</si>
  <si>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</si>
  <si>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</si>
  <si>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</si>
  <si>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</si>
  <si>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</si>
  <si>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</si>
  <si>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</si>
  <si>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</si>
  <si>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</si>
  <si>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</si>
  <si>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</si>
  <si>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</si>
  <si>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</si>
  <si>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</si>
  <si>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</si>
  <si>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</si>
  <si>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</si>
  <si>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</si>
  <si>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</si>
  <si>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</si>
  <si>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</si>
  <si>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</si>
  <si>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</si>
  <si>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</si>
  <si>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</si>
  <si>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</si>
  <si>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</si>
  <si>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</si>
  <si>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</si>
  <si>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</si>
  <si>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</si>
  <si>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</si>
  <si>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</si>
  <si>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</si>
  <si>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</si>
  <si>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</si>
  <si>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</si>
  <si>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</si>
  <si>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</si>
  <si>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</si>
  <si>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</si>
  <si>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</si>
  <si>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</si>
  <si>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</si>
  <si>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</si>
  <si>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</si>
  <si>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</si>
  <si>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</si>
  <si>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</si>
  <si>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</si>
  <si>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</si>
  <si>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</si>
  <si>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</si>
  <si>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</si>
  <si>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</si>
  <si>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</si>
  <si>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</si>
  <si>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</si>
  <si>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</si>
  <si>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</si>
  <si>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</si>
  <si>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</si>
  <si>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</si>
  <si>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</si>
  <si>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</si>
  <si>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</si>
  <si>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</si>
  <si>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</si>
  <si>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Vitesse d'avance mm/min</t>
  </si>
  <si>
    <t>Temps
sec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</si>
  <si>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</si>
  <si>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</si>
  <si>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</si>
  <si>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</si>
  <si>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</si>
  <si>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</si>
  <si>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</si>
  <si>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</si>
  <si>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</si>
  <si>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</si>
  <si>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</si>
  <si>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</si>
  <si>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</si>
  <si>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</si>
  <si>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</si>
  <si>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</si>
  <si>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</si>
  <si>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</si>
  <si>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</si>
  <si>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</si>
  <si>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</si>
  <si>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</si>
  <si>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</si>
  <si>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</si>
  <si>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</si>
  <si>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</si>
  <si>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</si>
  <si>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</si>
  <si>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</si>
  <si>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</si>
  <si>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</si>
  <si>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</si>
  <si>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</si>
  <si>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</si>
  <si>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</si>
  <si>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</si>
  <si>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</si>
  <si>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</si>
  <si>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</si>
  <si>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</si>
  <si>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</si>
  <si>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</si>
  <si>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</si>
  <si>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</si>
  <si>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</si>
  <si>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</si>
  <si>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</si>
  <si>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</si>
  <si>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</si>
  <si>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Nombre de brides</t>
  </si>
  <si>
    <t>Reference</t>
  </si>
  <si>
    <t>Pendulaire</t>
  </si>
  <si>
    <t>Description</t>
  </si>
  <si>
    <t>Nbre Dent</t>
  </si>
  <si>
    <t>Vitesse Coupe</t>
  </si>
  <si>
    <t>Profondeur Passe</t>
  </si>
  <si>
    <t>Type</t>
  </si>
  <si>
    <t>A</t>
  </si>
  <si>
    <t xml:space="preserve"> Pièce Unitaire</t>
  </si>
  <si>
    <t>Montage complet</t>
  </si>
  <si>
    <t>Pièce/Montage</t>
  </si>
  <si>
    <t>Temps Total (seconde)</t>
  </si>
  <si>
    <t>Temps Total (minute,dix)</t>
  </si>
  <si>
    <t>Temps Total (mm:ss)</t>
  </si>
  <si>
    <t>Piece/Montage</t>
  </si>
  <si>
    <t>J300269105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</si>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</sst>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[h]:mm"/>
    <numFmt numFmtId="168" formatCode="\Ø#.00"/>
    <numFmt numFmtId="169" formatCode="#\ ##0.00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6" fillId="0" borderId="43" applyNumberFormat="0" applyFill="0" applyAlignment="0" applyProtection="0"/>
  </cellStyleXfs>
  <cellXfs count="132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9" fontId="14" fillId="0" borderId="26" xfId="1" applyNumberFormat="1" applyFont="1" applyBorder="1" applyAlignment="1" applyProtection="1">
      <alignment horizontal="right"/>
      <protection locked="0"/>
    </xf>
    <xf numFmtId="0" fontId="17" fillId="0" borderId="43" xfId="6" applyFont="1"/>
    <xf numFmtId="167" fontId="8" fillId="15" borderId="0" xfId="4" applyNumberFormat="1" applyFont="1" applyAlignment="1" applyProtection="1"/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2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4" borderId="21" xfId="3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9" fillId="13" borderId="0" xfId="2" applyFont="1" applyAlignment="1" applyProtection="1">
      <alignment horizontal="left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168" fontId="0" fillId="0" borderId="0" xfId="0" applyNumberFormat="1"/>
    <xf numFmtId="169" fontId="0" fillId="0" borderId="0" xfId="0" applyNumberFormat="1"/>
    <xf numFmtId="0" fontId="0" fillId="0" borderId="0" xfId="0" applyNumberFormat="1"/>
  </cellXfs>
  <cellStyles count="7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2" xfId="6" builtinId="17"/>
    <cellStyle name="Titre 4" xfId="1" builtinId="19"/>
  </cellStyles>
  <dxfs count="14"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3"/>
        <name val="Calibri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12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11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0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5" totalsRowShown="0">
  <autoFilter ref="AO2:AS5"/>
  <tableColumns count="5">
    <tableColumn id="1" name="Ø"/>
    <tableColumn id="2" name="Dents / Z"/>
    <tableColumn id="3" name="avance / fz" dataDxfId="9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4" totalsRowShown="0">
  <autoFilter ref="AZ2:BC4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6" name="Tableau6" displayName="Tableau6" ref="B2:H35" totalsRowShown="0" headerRowDxfId="8" dataDxfId="7" headerRowCellStyle="Titre 2">
  <autoFilter ref="B2:H35"/>
  <tableColumns count="7">
    <tableColumn id="1" name="Description" dataDxfId="6"/>
    <tableColumn id="2" name="Type" dataDxfId="5"/>
    <tableColumn id="3" name="Ø" dataDxfId="4"/>
    <tableColumn id="4" name="Nbre Dent" dataDxfId="3"/>
    <tableColumn id="5" name="Avance" dataDxfId="2"/>
    <tableColumn id="6" name="Vitesse Coupe" dataDxfId="1"/>
    <tableColumn id="7" name="Profondeur Passe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zoomScale="110" zoomScaleNormal="110" workbookViewId="0">
      <selection activeCell="G1" sqref="G1:J1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80" t="str">
        <f>'Calcul Temps Technique'!D3</f>
        <v>J300269105</v>
      </c>
      <c r="C1" s="86" t="s">
        <v>97</v>
      </c>
      <c r="D1" s="86"/>
      <c r="E1" s="86"/>
      <c r="F1" s="86"/>
      <c r="G1" s="90">
        <v>4.3</v>
      </c>
      <c r="H1" s="91"/>
      <c r="I1" s="91"/>
      <c r="J1" s="92"/>
      <c r="K1" s="28"/>
      <c r="L1" s="79" t="s">
        <v>140</v>
      </c>
      <c r="M1" s="79"/>
      <c r="N1" s="79"/>
      <c r="O1" s="79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81"/>
      <c r="C2" s="86" t="s">
        <v>99</v>
      </c>
      <c r="D2" s="86"/>
      <c r="E2" s="86"/>
      <c r="F2" s="86"/>
      <c r="G2" s="87">
        <v>250</v>
      </c>
      <c r="H2" s="88"/>
      <c r="I2" s="88"/>
      <c r="J2" s="89"/>
      <c r="K2" s="28"/>
      <c r="L2" s="64" t="s">
        <v>98</v>
      </c>
      <c r="M2" s="64"/>
      <c r="N2" s="64"/>
      <c r="O2" s="25">
        <f>SUM(O21:O32)</f>
        <v>621.19484811899008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128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100</v>
      </c>
      <c r="M3" s="64"/>
      <c r="N3" s="64"/>
      <c r="O3" s="35">
        <f>CONVERT(O2,"sec","mn")</f>
        <v>10.353247468649835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101</v>
      </c>
      <c r="M4" s="64"/>
      <c r="N4" s="64"/>
      <c r="O4" s="35">
        <f>IF(OR(ISBLANK(O2),O2=0),0,ROUNDDOWN(3600/O2,0))</f>
        <v>5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50</v>
      </c>
      <c r="C5" s="93">
        <f>'Calcul Temps Technique'!D4</f>
        <v>15</v>
      </c>
      <c r="D5" s="93"/>
      <c r="E5" s="93"/>
      <c r="F5" s="93"/>
      <c r="G5" s="93"/>
      <c r="H5" s="28"/>
      <c r="I5" s="28"/>
      <c r="J5" s="28"/>
      <c r="K5" s="28"/>
      <c r="L5" s="79" t="s">
        <v>141</v>
      </c>
      <c r="M5" s="79"/>
      <c r="N5" s="79"/>
      <c r="O5" s="79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129</v>
      </c>
      <c r="C6" s="93">
        <f>'Calcul Temps Technique'!D5</f>
        <v>1</v>
      </c>
      <c r="D6" s="93"/>
      <c r="E6" s="93"/>
      <c r="F6" s="93"/>
      <c r="G6" s="93"/>
      <c r="H6" s="31"/>
      <c r="I6" s="28"/>
      <c r="J6" s="28"/>
      <c r="K6" s="28"/>
      <c r="L6" s="64" t="s">
        <v>98</v>
      </c>
      <c r="M6" s="64"/>
      <c r="N6" s="64"/>
      <c r="O6" s="25">
        <f>O26</f>
        <v>426.7948481189901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146</v>
      </c>
      <c r="C7" s="90">
        <v>4</v>
      </c>
      <c r="D7" s="91"/>
      <c r="E7" s="91"/>
      <c r="F7" s="91"/>
      <c r="G7" s="92"/>
      <c r="H7" s="31"/>
      <c r="I7" s="28"/>
      <c r="J7" s="28"/>
      <c r="K7" s="28"/>
      <c r="L7" s="64" t="s">
        <v>142</v>
      </c>
      <c r="M7" s="64"/>
      <c r="N7" s="64" t="s">
        <v>143</v>
      </c>
      <c r="O7" s="35">
        <f>O2-O6</f>
        <v>194.39999999999998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139</v>
      </c>
      <c r="C8" s="87">
        <v>9</v>
      </c>
      <c r="D8" s="88"/>
      <c r="E8" s="88"/>
      <c r="F8" s="88"/>
      <c r="G8" s="89"/>
      <c r="H8" s="31"/>
      <c r="I8" s="31"/>
      <c r="J8" s="28"/>
      <c r="K8" s="28"/>
      <c r="L8" s="64" t="s">
        <v>100</v>
      </c>
      <c r="M8" s="64"/>
      <c r="N8" s="64"/>
      <c r="O8" s="35">
        <f>CONVERT(O6,"sec","mn")</f>
        <v>7.1132474686498348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.75" thickBot="1" x14ac:dyDescent="0.4">
      <c r="B9" s="27" t="s">
        <v>148</v>
      </c>
      <c r="C9" s="87" t="b">
        <v>1</v>
      </c>
      <c r="D9" s="88"/>
      <c r="E9" s="88"/>
      <c r="F9" s="88"/>
      <c r="G9" s="89"/>
      <c r="H9" s="31"/>
      <c r="I9" s="31"/>
      <c r="J9" s="28"/>
      <c r="K9" s="28"/>
      <c r="L9" s="64" t="s">
        <v>101</v>
      </c>
      <c r="M9" s="64"/>
      <c r="N9" s="64"/>
      <c r="O9" s="35">
        <f>IF(OR(ISBLANK(O6),O6=0),0,ROUNDDOWN(3600/O6,0))</f>
        <v>8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94" t="s">
        <v>132</v>
      </c>
      <c r="D19" s="82"/>
      <c r="E19" s="82"/>
      <c r="F19" s="82" t="s">
        <v>102</v>
      </c>
      <c r="G19" s="82"/>
      <c r="H19" s="82"/>
      <c r="I19" s="82" t="s">
        <v>103</v>
      </c>
      <c r="J19" s="82"/>
      <c r="K19" s="52" t="s">
        <v>104</v>
      </c>
      <c r="L19" s="52" t="s">
        <v>105</v>
      </c>
      <c r="M19" s="53" t="s">
        <v>106</v>
      </c>
      <c r="N19" s="82" t="s">
        <v>51</v>
      </c>
      <c r="O19" s="83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107</v>
      </c>
      <c r="C20" s="61" t="s">
        <v>108</v>
      </c>
      <c r="D20" s="54" t="s">
        <v>109</v>
      </c>
      <c r="E20" s="54" t="s">
        <v>110</v>
      </c>
      <c r="F20" s="54" t="s">
        <v>108</v>
      </c>
      <c r="G20" s="54" t="s">
        <v>109</v>
      </c>
      <c r="H20" s="54" t="s">
        <v>6</v>
      </c>
      <c r="I20" s="84" t="s">
        <v>11</v>
      </c>
      <c r="J20" s="84"/>
      <c r="K20" s="54" t="s">
        <v>108</v>
      </c>
      <c r="L20" s="54" t="s">
        <v>111</v>
      </c>
      <c r="M20" s="54" t="s">
        <v>112</v>
      </c>
      <c r="N20" s="54" t="s">
        <v>113</v>
      </c>
      <c r="O20" s="55" t="s">
        <v>114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130</v>
      </c>
      <c r="C21" s="62">
        <v>1</v>
      </c>
      <c r="D21" s="33">
        <v>6</v>
      </c>
      <c r="E21" s="33">
        <f>Manutention!$K$10</f>
        <v>6</v>
      </c>
      <c r="F21" s="33">
        <f>Manutention!$K$11</f>
        <v>1</v>
      </c>
      <c r="G21" s="33">
        <v>1</v>
      </c>
      <c r="H21" s="33">
        <v>3</v>
      </c>
      <c r="I21" s="85"/>
      <c r="J21" s="85"/>
      <c r="K21" s="33"/>
      <c r="L21" s="33"/>
      <c r="M21" s="33">
        <f>$C$6</f>
        <v>1</v>
      </c>
      <c r="N21" s="50">
        <f>IF(ISBLANK(L21),(C21+D21+E21+F21+G21+H21+I21+K21)*10,L21/0.036)*IF(ISBLANK(M21),1,M21)</f>
        <v>180</v>
      </c>
      <c r="O21" s="56">
        <f>N21*0.036</f>
        <v>6.4799999999999995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115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5"/>
      <c r="J22" s="85"/>
      <c r="K22" s="33"/>
      <c r="L22" s="33"/>
      <c r="M22" s="33">
        <f t="shared" ref="M22" si="0">$C$6</f>
        <v>1</v>
      </c>
      <c r="N22" s="50">
        <f t="shared" ref="N22:N32" si="1">IF(ISBLANK(L22),(C22+D22+E22+F22+G22+H22+I22+K22)*10,L22/0.036)*IF(ISBLANK(M22),1,M22)</f>
        <v>100</v>
      </c>
      <c r="O22" s="56">
        <f t="shared" ref="O22:O32" si="2">N22*0.036</f>
        <v>3.5999999999999996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131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5"/>
      <c r="J23" s="85"/>
      <c r="K23" s="33"/>
      <c r="L23" s="33"/>
      <c r="M23" s="33">
        <f>$C$7</f>
        <v>4</v>
      </c>
      <c r="N23" s="50">
        <f t="shared" si="1"/>
        <v>1160</v>
      </c>
      <c r="O23" s="56">
        <f t="shared" si="2"/>
        <v>41.76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133</v>
      </c>
      <c r="C24" s="62">
        <v>3</v>
      </c>
      <c r="D24" s="33">
        <v>3</v>
      </c>
      <c r="E24" s="33">
        <v>1</v>
      </c>
      <c r="F24" s="33"/>
      <c r="G24" s="33"/>
      <c r="H24" s="33"/>
      <c r="I24" s="85"/>
      <c r="J24" s="85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134</v>
      </c>
      <c r="C25" s="62"/>
      <c r="D25" s="33"/>
      <c r="E25" s="33"/>
      <c r="F25" s="33">
        <v>6</v>
      </c>
      <c r="G25" s="33">
        <v>1</v>
      </c>
      <c r="H25" s="33">
        <v>3</v>
      </c>
      <c r="I25" s="85"/>
      <c r="J25" s="85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116</v>
      </c>
      <c r="C26" s="62"/>
      <c r="D26" s="33"/>
      <c r="E26" s="33"/>
      <c r="F26" s="33"/>
      <c r="G26" s="33"/>
      <c r="H26" s="33"/>
      <c r="I26" s="85"/>
      <c r="J26" s="85"/>
      <c r="K26" s="33">
        <v>6</v>
      </c>
      <c r="L26" s="23">
        <f>'Calcul Temps Technique'!K5</f>
        <v>426.7948481189901</v>
      </c>
      <c r="M26" s="33">
        <v>1</v>
      </c>
      <c r="N26" s="50">
        <f t="shared" si="1"/>
        <v>11855.412447749726</v>
      </c>
      <c r="O26" s="56">
        <f t="shared" si="2"/>
        <v>426.7948481189901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135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5"/>
      <c r="J27" s="85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137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5"/>
      <c r="J28" s="85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136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5"/>
      <c r="J29" s="85"/>
      <c r="K29" s="33"/>
      <c r="L29" s="33"/>
      <c r="M29" s="33">
        <f>$C$7</f>
        <v>4</v>
      </c>
      <c r="N29" s="50">
        <f t="shared" si="1"/>
        <v>960</v>
      </c>
      <c r="O29" s="56">
        <f t="shared" si="2"/>
        <v>34.559999999999995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117</v>
      </c>
      <c r="C30" s="62">
        <f>C21</f>
        <v>1</v>
      </c>
      <c r="D30" s="33">
        <f t="shared" ref="D30:H30" si="4">D21</f>
        <v>6</v>
      </c>
      <c r="E30" s="33">
        <f t="shared" si="4"/>
        <v>6</v>
      </c>
      <c r="F30" s="33">
        <f t="shared" si="4"/>
        <v>1</v>
      </c>
      <c r="G30" s="33">
        <f t="shared" si="4"/>
        <v>1</v>
      </c>
      <c r="H30" s="33">
        <f t="shared" si="4"/>
        <v>3</v>
      </c>
      <c r="I30" s="85"/>
      <c r="J30" s="85"/>
      <c r="K30" s="33"/>
      <c r="L30" s="33"/>
      <c r="M30" s="33">
        <f t="shared" ref="M30:M31" si="5">$C$6</f>
        <v>1</v>
      </c>
      <c r="N30" s="50">
        <f t="shared" si="1"/>
        <v>180</v>
      </c>
      <c r="O30" s="56">
        <f t="shared" si="2"/>
        <v>6.4799999999999995</v>
      </c>
    </row>
    <row r="31" spans="2:26" ht="18.75" x14ac:dyDescent="0.3">
      <c r="B31" s="49" t="s">
        <v>118</v>
      </c>
      <c r="C31" s="62">
        <f>IF($Z$1,0,C21)</f>
        <v>1</v>
      </c>
      <c r="D31" s="33"/>
      <c r="E31" s="33">
        <f>IF($Z$1,0,E21)</f>
        <v>6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5"/>
      <c r="J31" s="85"/>
      <c r="K31" s="33"/>
      <c r="L31" s="33"/>
      <c r="M31" s="33">
        <f t="shared" si="5"/>
        <v>1</v>
      </c>
      <c r="N31" s="50">
        <f t="shared" si="1"/>
        <v>190</v>
      </c>
      <c r="O31" s="56">
        <f t="shared" si="2"/>
        <v>6.84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138</v>
      </c>
      <c r="C32" s="63">
        <v>3</v>
      </c>
      <c r="D32" s="34">
        <v>6</v>
      </c>
      <c r="E32" s="34">
        <v>1</v>
      </c>
      <c r="F32" s="34"/>
      <c r="G32" s="34"/>
      <c r="H32" s="34">
        <v>12</v>
      </c>
      <c r="I32" s="78"/>
      <c r="J32" s="78"/>
      <c r="K32" s="34"/>
      <c r="L32" s="34"/>
      <c r="M32" s="34">
        <f>$C$8*$C$6</f>
        <v>9</v>
      </c>
      <c r="N32" s="57">
        <f t="shared" si="1"/>
        <v>1980</v>
      </c>
      <c r="O32" s="58">
        <f t="shared" si="2"/>
        <v>71.28</v>
      </c>
    </row>
  </sheetData>
  <mergeCells count="29">
    <mergeCell ref="C5:G5"/>
    <mergeCell ref="C19:E19"/>
    <mergeCell ref="F19:H19"/>
    <mergeCell ref="I19:J19"/>
    <mergeCell ref="C6:G6"/>
    <mergeCell ref="C7:G7"/>
    <mergeCell ref="C8:G8"/>
    <mergeCell ref="C9:G9"/>
    <mergeCell ref="I28:J28"/>
    <mergeCell ref="I30:J30"/>
    <mergeCell ref="I21:J21"/>
    <mergeCell ref="I22:J22"/>
    <mergeCell ref="I23:J23"/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</mergeCells>
  <conditionalFormatting sqref="L5:O9">
    <cfRule type="expression" dxfId="13" priority="1">
      <formula>NOT($C$9)</formula>
    </cfRule>
  </conditionalFormatting>
  <dataValidations count="2">
    <dataValidation type="whole" operator="greaterThanOrEqual" allowBlank="1" showInputMessage="1" showErrorMessage="1" errorTitle="Erreur" error="Le nombre de gabarit doit etre &gt;=0" sqref="C8">
      <formula1>0</formula1>
    </dataValidation>
    <dataValidation type="list" showInputMessage="1" showErrorMessage="1" errorTitle="Erreur" error="Pièce en pendulaire ou pas" sqref="C9:G9">
      <formula1>"VRAI,FAUX"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tabSelected="1" view="pageBreakPreview" zoomScaleNormal="100" zoomScaleSheetLayoutView="100" workbookViewId="0">
      <selection activeCell="C15" sqref="C15"/>
    </sheetView>
  </sheetViews>
  <sheetFormatPr baseColWidth="10" defaultRowHeight="15" x14ac:dyDescent="0.25"/>
  <cols>
    <col min="1" max="1" width="13.85546875" customWidth="1"/>
    <col min="2" max="2" width="11.42578125" customWidth="1"/>
    <col min="3" max="3" width="18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2" width="19.7109375" customWidth="1"/>
    <col min="13" max="13" width="12" bestFit="1" customWidth="1"/>
    <col min="14" max="14" width="11.42578125" hidden="1" customWidth="1"/>
  </cols>
  <sheetData>
    <row r="2" spans="1:17" ht="18.75" x14ac:dyDescent="0.3">
      <c r="J2" s="74" t="s">
        <v>155</v>
      </c>
      <c r="K2" s="74" t="s">
        <v>156</v>
      </c>
      <c r="L2" s="74" t="s">
        <v>157</v>
      </c>
    </row>
    <row r="3" spans="1:17" ht="21.75" thickBot="1" x14ac:dyDescent="0.4">
      <c r="C3" s="64" t="s">
        <v>147</v>
      </c>
      <c r="D3" s="75" t="s">
        <v>162</v>
      </c>
      <c r="E3" s="20"/>
      <c r="H3" s="64" t="s">
        <v>93</v>
      </c>
      <c r="I3" s="64"/>
      <c r="J3" s="25">
        <f>SUMIF(N11:N18,"x",M11:M18)</f>
        <v>341.7948481189901</v>
      </c>
      <c r="K3" s="25">
        <f>D5*J3</f>
        <v>341.7948481189901</v>
      </c>
      <c r="L3" s="25">
        <f>K3/$D$5</f>
        <v>341.7948481189901</v>
      </c>
      <c r="N3" s="21"/>
      <c r="O3" s="21"/>
    </row>
    <row r="4" spans="1:17" ht="21" x14ac:dyDescent="0.35">
      <c r="C4" s="64" t="s">
        <v>50</v>
      </c>
      <c r="D4" s="69">
        <v>15</v>
      </c>
      <c r="H4" s="64" t="s">
        <v>94</v>
      </c>
      <c r="I4" s="64"/>
      <c r="J4" s="25">
        <f>17*COUNTIF(N11:N81,"x")</f>
        <v>85</v>
      </c>
      <c r="K4" s="25">
        <f>J4</f>
        <v>85</v>
      </c>
      <c r="L4" s="25">
        <f t="shared" ref="L4:L7" si="0">K4/$D$5</f>
        <v>85</v>
      </c>
    </row>
    <row r="5" spans="1:17" ht="21.75" thickBot="1" x14ac:dyDescent="0.4">
      <c r="C5" s="64" t="s">
        <v>161</v>
      </c>
      <c r="D5" s="67">
        <v>1</v>
      </c>
      <c r="H5" s="95" t="s">
        <v>158</v>
      </c>
      <c r="I5" s="95"/>
      <c r="J5" s="25">
        <f>J4+J3</f>
        <v>426.7948481189901</v>
      </c>
      <c r="K5" s="25">
        <f>K4+K3</f>
        <v>426.7948481189901</v>
      </c>
      <c r="L5" s="25">
        <f t="shared" si="0"/>
        <v>426.7948481189901</v>
      </c>
    </row>
    <row r="6" spans="1:17" ht="18.75" x14ac:dyDescent="0.3">
      <c r="H6" s="95" t="s">
        <v>159</v>
      </c>
      <c r="I6" s="95"/>
      <c r="J6" s="25">
        <f>CONVERT(J5,"sec","mn")</f>
        <v>7.1132474686498348</v>
      </c>
      <c r="K6" s="25">
        <f>CONVERT(K5,"sec","mn")</f>
        <v>7.1132474686498348</v>
      </c>
      <c r="L6" s="25">
        <f t="shared" si="0"/>
        <v>7.1132474686498348</v>
      </c>
    </row>
    <row r="7" spans="1:17" ht="18.75" x14ac:dyDescent="0.3">
      <c r="H7" s="95" t="s">
        <v>160</v>
      </c>
      <c r="I7" s="95"/>
      <c r="J7" s="77">
        <f>J6/24</f>
        <v>0.29638531119374312</v>
      </c>
      <c r="K7" s="77">
        <f>K6/24</f>
        <v>0.29638531119374312</v>
      </c>
      <c r="L7" s="77">
        <f t="shared" si="0"/>
        <v>0.29638531119374312</v>
      </c>
    </row>
    <row r="8" spans="1:17" ht="15.75" thickBot="1" x14ac:dyDescent="0.3"/>
    <row r="9" spans="1:17" ht="18.75" x14ac:dyDescent="0.3">
      <c r="C9" s="98" t="s">
        <v>39</v>
      </c>
      <c r="D9" s="100" t="s">
        <v>40</v>
      </c>
      <c r="E9" s="102" t="s">
        <v>144</v>
      </c>
      <c r="F9" s="102" t="s">
        <v>145</v>
      </c>
      <c r="G9" s="100" t="s">
        <v>45</v>
      </c>
      <c r="H9" s="65" t="s">
        <v>85</v>
      </c>
      <c r="I9" s="65" t="s">
        <v>86</v>
      </c>
      <c r="J9" s="65" t="s">
        <v>87</v>
      </c>
      <c r="K9" s="65" t="s">
        <v>88</v>
      </c>
      <c r="L9" s="65" t="s">
        <v>95</v>
      </c>
      <c r="M9" s="96" t="s">
        <v>96</v>
      </c>
    </row>
    <row r="10" spans="1:17" ht="19.5" thickBot="1" x14ac:dyDescent="0.35">
      <c r="C10" s="99"/>
      <c r="D10" s="101"/>
      <c r="E10" s="101"/>
      <c r="F10" s="101"/>
      <c r="G10" s="101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154</v>
      </c>
      <c r="M10" s="97"/>
    </row>
    <row r="11" spans="1:17" s="68" customFormat="1" x14ac:dyDescent="0.25">
      <c r="A11"/>
      <c r="B11">
        <v>22</v>
      </c>
      <c r="C11" t="s">
        <v>22</v>
      </c>
      <c r="D11" s="129">
        <v>22</v>
      </c>
      <c r="E11">
        <v>15</v>
      </c>
      <c r="F11">
        <v>8</v>
      </c>
      <c r="G11"/>
      <c r="H11">
        <f>INDEX(PercageExt,MATCH($B$11,Percage,1),4)</f>
        <v>200</v>
      </c>
      <c r="I11">
        <f>INDEX(PercageExt,MATCH($B$11,Percage,1),3)</f>
        <v>0.04</v>
      </c>
      <c r="J11">
        <f>INDEX(PercageExt,MATCH($B$11,Percage,1),2)</f>
        <v>1</v>
      </c>
      <c r="K11">
        <f>ROUNDDOWN((1000*$H$11)/(PI()*$B$11),0)</f>
        <v>2893</v>
      </c>
      <c r="L11">
        <f>ROUNDDOWN(I11*J11*K11,0)</f>
        <v>115</v>
      </c>
      <c r="M11" s="130">
        <f>((E11*1.05/L11)*F11)*60</f>
        <v>65.739130434782595</v>
      </c>
      <c r="N11" t="s">
        <v>163</v>
      </c>
      <c r="O11" s="70"/>
    </row>
    <row r="12" spans="1:17" s="68" customFormat="1" x14ac:dyDescent="0.25">
      <c r="A12"/>
      <c r="B12">
        <v>22</v>
      </c>
      <c r="C12" t="s">
        <v>22</v>
      </c>
      <c r="D12" s="129">
        <v>22</v>
      </c>
      <c r="E12">
        <v>15</v>
      </c>
      <c r="F12">
        <v>8</v>
      </c>
      <c r="G12"/>
      <c r="H12">
        <f>INDEX(PercageExt,MATCH($B$12,Percage,1),4)</f>
        <v>200</v>
      </c>
      <c r="I12">
        <f>INDEX(PercageExt,MATCH($B$12,Percage,1),3)</f>
        <v>0.04</v>
      </c>
      <c r="J12">
        <f>INDEX(PercageExt,MATCH($B$12,Percage,1),2)</f>
        <v>1</v>
      </c>
      <c r="K12">
        <f>ROUNDDOWN((1000*$H$12)/(PI()*$B$12),0)</f>
        <v>2893</v>
      </c>
      <c r="L12">
        <f>ROUNDDOWN(I12*J12*K12,0)</f>
        <v>115</v>
      </c>
      <c r="M12" s="130">
        <f>((E12*1.05/L12)*F12)*60</f>
        <v>65.739130434782595</v>
      </c>
      <c r="N12" t="s">
        <v>163</v>
      </c>
      <c r="O12"/>
      <c r="P12"/>
    </row>
    <row r="13" spans="1:17" s="68" customFormat="1" x14ac:dyDescent="0.25">
      <c r="A13"/>
      <c r="B13">
        <v>37</v>
      </c>
      <c r="C13" t="s">
        <v>22</v>
      </c>
      <c r="D13" s="129">
        <v>37</v>
      </c>
      <c r="E13">
        <v>8</v>
      </c>
      <c r="F13">
        <v>8</v>
      </c>
      <c r="G13"/>
      <c r="H13">
        <f>INDEX(PercageExt,MATCH($B$13,Percage,1),4)</f>
        <v>200</v>
      </c>
      <c r="I13">
        <f>INDEX(PercageExt,MATCH($B$13,Percage,1),3)</f>
        <v>0.04</v>
      </c>
      <c r="J13">
        <f>INDEX(PercageExt,MATCH($B$13,Percage,1),2)</f>
        <v>1</v>
      </c>
      <c r="K13">
        <f>ROUNDDOWN((1000*$H$13)/(PI()*$B$13),0)</f>
        <v>1720</v>
      </c>
      <c r="L13">
        <f>ROUNDDOWN(I13*J13*K13,0)</f>
        <v>68</v>
      </c>
      <c r="M13" s="130">
        <f>((E13*1.05/L13)*F13)*60</f>
        <v>59.294117647058826</v>
      </c>
      <c r="N13" t="s">
        <v>163</v>
      </c>
      <c r="O13"/>
      <c r="P13"/>
      <c r="Q13" s="71"/>
    </row>
    <row r="14" spans="1:17" s="68" customFormat="1" x14ac:dyDescent="0.25">
      <c r="A14"/>
      <c r="B14">
        <v>37</v>
      </c>
      <c r="C14" t="s">
        <v>22</v>
      </c>
      <c r="D14" s="129">
        <v>37</v>
      </c>
      <c r="E14">
        <v>8</v>
      </c>
      <c r="F14">
        <v>8</v>
      </c>
      <c r="G14"/>
      <c r="H14">
        <f>INDEX(PercageExt,MATCH($B$14,Percage,1),4)</f>
        <v>200</v>
      </c>
      <c r="I14">
        <f>INDEX(PercageExt,MATCH($B$14,Percage,1),3)</f>
        <v>0.04</v>
      </c>
      <c r="J14">
        <f>INDEX(PercageExt,MATCH($B$14,Percage,1),2)</f>
        <v>1</v>
      </c>
      <c r="K14">
        <f>ROUNDDOWN((1000*$H$14)/(PI()*$B$14),0)</f>
        <v>1720</v>
      </c>
      <c r="L14">
        <f>ROUNDDOWN(I14*J14*K14,0)</f>
        <v>68</v>
      </c>
      <c r="M14" s="130">
        <f>((E14*1.05/L14)*F14)*60</f>
        <v>59.294117647058826</v>
      </c>
      <c r="N14" t="s">
        <v>163</v>
      </c>
      <c r="Q14" s="71"/>
    </row>
    <row r="15" spans="1:17" s="68" customFormat="1" x14ac:dyDescent="0.25">
      <c r="A15"/>
      <c r="B15">
        <v>6</v>
      </c>
      <c r="C15" t="s">
        <v>25</v>
      </c>
      <c r="D15" s="129">
        <v>6</v>
      </c>
      <c r="E15">
        <v>695</v>
      </c>
      <c r="F15">
        <f>ROUNDUP((5/ VLOOKUP($B$15,ContournageExt,5,FALSE)),0)* 1+2</f>
        <v>3</v>
      </c>
      <c r="G15"/>
      <c r="H15">
        <f>VLOOKUP($B$15,ContournageExt,4,FALSE)</f>
        <v>90</v>
      </c>
      <c r="I15">
        <f>VLOOKUP($B$15,ContournageExt,3,FALSE)</f>
        <v>0.1</v>
      </c>
      <c r="J15">
        <f>VLOOKUP($B$15,ContournageExt,2,FALSE)</f>
        <v>3</v>
      </c>
      <c r="K15">
        <f>ROUNDDOWN((1000*$H$15)/(PI()*$B$15),0)</f>
        <v>4774</v>
      </c>
      <c r="L15">
        <f>ROUNDDOWN(I15*J15*K15,0)</f>
        <v>1432</v>
      </c>
      <c r="M15" s="130">
        <f>((E15*1.05/L15)*F15)*60</f>
        <v>91.728351955307261</v>
      </c>
      <c r="N15" t="s">
        <v>163</v>
      </c>
      <c r="Q15" s="71"/>
    </row>
    <row r="16" spans="1:17" s="68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2"/>
    </row>
    <row r="17" spans="1:17" s="68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3"/>
    </row>
    <row r="18" spans="1:17" s="68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8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8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8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8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8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8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8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8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8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8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8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8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8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1"/>
    </row>
    <row r="33" spans="1:15" s="68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1"/>
    </row>
    <row r="34" spans="1:15" s="68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2"/>
    </row>
    <row r="35" spans="1:15" s="68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8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8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8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8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8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8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8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8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8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8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8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8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8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8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8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8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8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8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8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8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8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8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8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8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8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8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8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8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8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8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8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8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8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8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8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8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8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8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8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8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8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8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8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8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8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8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8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8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8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8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8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8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8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8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8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8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8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8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8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8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8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8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8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8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8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sheetProtection formatCells="0"/>
  <mergeCells count="9">
    <mergeCell ref="H5:I5"/>
    <mergeCell ref="H6:I6"/>
    <mergeCell ref="H7:I7"/>
    <mergeCell ref="M9:M10"/>
    <mergeCell ref="C9:C10"/>
    <mergeCell ref="D9:D10"/>
    <mergeCell ref="E9:E10"/>
    <mergeCell ref="F9:F10"/>
    <mergeCell ref="G9:G10"/>
  </mergeCells>
  <dataValidations count="11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8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4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6">
      <formula1>Operations</formula1>
    </dataValidation>
  </dataValidations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AK1" workbookViewId="0">
      <selection activeCell="AS4" sqref="AS4"/>
    </sheetView>
  </sheetViews>
  <sheetFormatPr baseColWidth="10" defaultRowHeight="15" x14ac:dyDescent="0.25"/>
  <cols>
    <col min="1" max="1" width="12.85546875" bestFit="1" customWidth="1"/>
    <col min="2" max="5" width="12.85546875" customWidth="1"/>
    <col min="6" max="6" width="19" customWidth="1"/>
    <col min="7" max="8" width="11.42578125" customWidth="1"/>
    <col min="9" max="9" width="17.5703125" customWidth="1"/>
    <col min="10" max="10" width="12.140625" customWidth="1"/>
    <col min="11" max="11" width="7.28515625" customWidth="1"/>
    <col min="12" max="12" width="8" customWidth="1"/>
    <col min="13" max="13" width="11.42578125" customWidth="1"/>
    <col min="14" max="14" width="12.7109375" customWidth="1"/>
    <col min="15" max="15" width="11.42578125" style="17" customWidth="1"/>
    <col min="16" max="17" width="11.42578125" customWidth="1"/>
    <col min="18" max="18" width="14.140625" customWidth="1"/>
    <col min="19" max="19" width="20.85546875" customWidth="1"/>
    <col min="20" max="21" width="11.42578125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04" t="s">
        <v>22</v>
      </c>
      <c r="I1" s="104"/>
      <c r="J1" s="104"/>
      <c r="K1" s="104"/>
      <c r="L1" s="104"/>
      <c r="N1" s="103" t="s">
        <v>29</v>
      </c>
      <c r="O1" s="103"/>
      <c r="P1" s="103"/>
      <c r="Q1" s="18"/>
      <c r="R1" s="103" t="s">
        <v>44</v>
      </c>
      <c r="S1" s="103"/>
      <c r="T1" s="103"/>
      <c r="U1" s="19"/>
      <c r="V1" s="103" t="s">
        <v>22</v>
      </c>
      <c r="W1" s="103"/>
      <c r="X1" s="103"/>
      <c r="Y1" s="103"/>
      <c r="AA1" s="103" t="s">
        <v>23</v>
      </c>
      <c r="AB1" s="103"/>
      <c r="AC1" s="103"/>
      <c r="AD1" s="103"/>
      <c r="AE1" s="103"/>
      <c r="AF1" s="103"/>
      <c r="AG1" s="103"/>
      <c r="AI1" s="103" t="s">
        <v>24</v>
      </c>
      <c r="AJ1" s="103"/>
      <c r="AK1" s="103"/>
      <c r="AL1" s="103"/>
      <c r="AM1" s="103"/>
      <c r="AO1" s="103" t="s">
        <v>25</v>
      </c>
      <c r="AP1" s="103"/>
      <c r="AQ1" s="103"/>
      <c r="AR1" s="103"/>
      <c r="AS1" s="103"/>
      <c r="AU1" s="103" t="s">
        <v>26</v>
      </c>
      <c r="AV1" s="103"/>
      <c r="AW1" s="103"/>
      <c r="AX1" s="103"/>
      <c r="AZ1" s="103" t="s">
        <v>27</v>
      </c>
      <c r="BA1" s="103"/>
      <c r="BB1" s="103"/>
      <c r="BC1" s="103"/>
    </row>
    <row r="2" spans="1:55" ht="15.75" thickBot="1" x14ac:dyDescent="0.3">
      <c r="A2" t="s">
        <v>28</v>
      </c>
      <c r="C2" t="s">
        <v>38</v>
      </c>
      <c r="D2" t="s">
        <v>89</v>
      </c>
      <c r="F2" t="s">
        <v>44</v>
      </c>
      <c r="H2" s="108" t="s">
        <v>0</v>
      </c>
      <c r="I2" s="1" t="s">
        <v>1</v>
      </c>
      <c r="J2" s="110" t="s">
        <v>2</v>
      </c>
      <c r="K2" s="111"/>
      <c r="L2" s="112"/>
      <c r="N2" t="s">
        <v>42</v>
      </c>
      <c r="O2" s="17" t="s">
        <v>43</v>
      </c>
      <c r="P2" t="s">
        <v>89</v>
      </c>
      <c r="R2" t="s">
        <v>3</v>
      </c>
      <c r="S2" t="s">
        <v>4</v>
      </c>
      <c r="T2" t="s">
        <v>5</v>
      </c>
      <c r="V2" t="s">
        <v>78</v>
      </c>
      <c r="W2" t="s">
        <v>80</v>
      </c>
      <c r="X2" t="s">
        <v>81</v>
      </c>
      <c r="Y2" t="s">
        <v>79</v>
      </c>
      <c r="AA2" t="s">
        <v>52</v>
      </c>
      <c r="AB2" t="s">
        <v>76</v>
      </c>
      <c r="AC2" t="s">
        <v>77</v>
      </c>
      <c r="AD2" t="s">
        <v>41</v>
      </c>
      <c r="AE2" t="s">
        <v>53</v>
      </c>
      <c r="AF2" t="s">
        <v>91</v>
      </c>
      <c r="AG2" t="s">
        <v>92</v>
      </c>
      <c r="AI2" t="s">
        <v>78</v>
      </c>
      <c r="AJ2" t="s">
        <v>80</v>
      </c>
      <c r="AK2" t="s">
        <v>81</v>
      </c>
      <c r="AL2" t="s">
        <v>79</v>
      </c>
      <c r="AM2" t="s">
        <v>82</v>
      </c>
      <c r="AO2" t="s">
        <v>78</v>
      </c>
      <c r="AP2" t="s">
        <v>83</v>
      </c>
      <c r="AQ2" t="s">
        <v>81</v>
      </c>
      <c r="AR2" t="s">
        <v>79</v>
      </c>
      <c r="AS2" t="s">
        <v>82</v>
      </c>
      <c r="AU2" t="s">
        <v>90</v>
      </c>
      <c r="AV2" t="s">
        <v>83</v>
      </c>
      <c r="AW2" t="s">
        <v>81</v>
      </c>
      <c r="AX2" t="s">
        <v>79</v>
      </c>
      <c r="AZ2" t="s">
        <v>78</v>
      </c>
      <c r="BA2" t="s">
        <v>83</v>
      </c>
      <c r="BB2" t="s">
        <v>81</v>
      </c>
      <c r="BC2" t="s">
        <v>79</v>
      </c>
    </row>
    <row r="3" spans="1:55" ht="45.75" thickBot="1" x14ac:dyDescent="0.3">
      <c r="A3" t="s">
        <v>84</v>
      </c>
      <c r="C3" t="s">
        <v>34</v>
      </c>
      <c r="D3" t="s">
        <v>36</v>
      </c>
      <c r="F3" t="s">
        <v>3</v>
      </c>
      <c r="H3" s="109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54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3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55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  <c r="AZ4">
        <v>50</v>
      </c>
      <c r="BA4">
        <v>3</v>
      </c>
      <c r="BB4">
        <f>0.2</f>
        <v>0.2</v>
      </c>
      <c r="BC4">
        <v>150</v>
      </c>
    </row>
    <row r="5" spans="1:55" ht="30.75" thickBot="1" x14ac:dyDescent="0.3">
      <c r="A5" t="s">
        <v>27</v>
      </c>
      <c r="F5" t="s">
        <v>5</v>
      </c>
      <c r="H5" s="114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56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  <c r="AO5">
        <v>6</v>
      </c>
      <c r="AP5">
        <v>3</v>
      </c>
      <c r="AQ5" s="131">
        <v>0.1</v>
      </c>
      <c r="AR5">
        <v>90</v>
      </c>
      <c r="AS5">
        <v>6</v>
      </c>
    </row>
    <row r="6" spans="1:55" ht="30.75" thickBot="1" x14ac:dyDescent="0.3">
      <c r="A6" t="s">
        <v>25</v>
      </c>
      <c r="H6" s="114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57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5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75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58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6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59</v>
      </c>
      <c r="AF9">
        <v>1.8140000000000001</v>
      </c>
      <c r="AG9">
        <v>28.25</v>
      </c>
    </row>
    <row r="10" spans="1:55" ht="30.75" thickBot="1" x14ac:dyDescent="0.3">
      <c r="H10" s="117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60</v>
      </c>
      <c r="AF10">
        <v>2.3090000000000002</v>
      </c>
      <c r="AG10">
        <v>30.75</v>
      </c>
    </row>
    <row r="11" spans="1:55" ht="45.75" thickBot="1" x14ac:dyDescent="0.3">
      <c r="H11" s="118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61</v>
      </c>
      <c r="AF11">
        <v>2.3090000000000002</v>
      </c>
      <c r="AG11">
        <v>39.5</v>
      </c>
    </row>
    <row r="12" spans="1:55" ht="75.75" thickBot="1" x14ac:dyDescent="0.3">
      <c r="H12" s="119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62</v>
      </c>
      <c r="AF12">
        <v>2.3090000000000002</v>
      </c>
      <c r="AG12">
        <v>45.24</v>
      </c>
    </row>
    <row r="13" spans="1:55" ht="90.75" thickBot="1" x14ac:dyDescent="0.3">
      <c r="H13" s="120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63</v>
      </c>
      <c r="AF13">
        <v>2.3090000000000002</v>
      </c>
      <c r="AG13">
        <v>51</v>
      </c>
    </row>
    <row r="14" spans="1:55" ht="60.75" thickBot="1" x14ac:dyDescent="0.3">
      <c r="H14" s="121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64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5" t="s">
        <v>21</v>
      </c>
      <c r="K15" s="106"/>
      <c r="L15" s="107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65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66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67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68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69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70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71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72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73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74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J15:L15"/>
    <mergeCell ref="H2:H3"/>
    <mergeCell ref="J2:L2"/>
    <mergeCell ref="H4:H7"/>
    <mergeCell ref="H9:H11"/>
    <mergeCell ref="H12:H14"/>
    <mergeCell ref="AU1:AX1"/>
    <mergeCell ref="AO1:AS1"/>
    <mergeCell ref="H1:L1"/>
    <mergeCell ref="AZ1:BC1"/>
    <mergeCell ref="R1:T1"/>
    <mergeCell ref="AA1:AG1"/>
    <mergeCell ref="N1:P1"/>
    <mergeCell ref="AI1:AM1"/>
    <mergeCell ref="V1:Y1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K11" sqref="K11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2" t="s">
        <v>119</v>
      </c>
      <c r="B1" s="122"/>
      <c r="C1" s="122"/>
      <c r="D1" s="122"/>
      <c r="E1" s="122"/>
      <c r="F1" s="122"/>
      <c r="G1" s="122"/>
      <c r="J1" s="36" t="s">
        <v>120</v>
      </c>
      <c r="K1" s="36" t="s">
        <v>121</v>
      </c>
    </row>
    <row r="2" spans="1:15" ht="15.75" thickBot="1" x14ac:dyDescent="0.3">
      <c r="A2" s="37" t="s">
        <v>122</v>
      </c>
      <c r="B2" s="123">
        <v>499</v>
      </c>
      <c r="C2" s="125">
        <v>999</v>
      </c>
      <c r="D2" s="125">
        <v>1499</v>
      </c>
      <c r="E2" s="125">
        <v>1999</v>
      </c>
      <c r="F2" s="125">
        <v>3999</v>
      </c>
      <c r="G2" s="127">
        <v>8000</v>
      </c>
      <c r="J2" s="24">
        <f>'Calcul Sequence'!G2</f>
        <v>250</v>
      </c>
      <c r="K2" s="24">
        <f>'Calcul Sequence'!G1</f>
        <v>4.3</v>
      </c>
    </row>
    <row r="3" spans="1:15" ht="15.75" thickBot="1" x14ac:dyDescent="0.3">
      <c r="A3" s="38" t="s">
        <v>123</v>
      </c>
      <c r="B3" s="124"/>
      <c r="C3" s="126"/>
      <c r="D3" s="126"/>
      <c r="E3" s="126"/>
      <c r="F3" s="126"/>
      <c r="G3" s="128"/>
      <c r="J3" s="24" t="e">
        <f>HLOOKUP(J2,B2:G2,1)</f>
        <v>#N/A</v>
      </c>
      <c r="K3" s="24">
        <f>VLOOKUP(K2,A4:A13,1)</f>
        <v>1</v>
      </c>
      <c r="L3" s="24" t="s">
        <v>124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 t="e">
        <f>MATCH(J3,B2:G2)+1</f>
        <v>#N/A</v>
      </c>
      <c r="K4" s="24">
        <f>MATCH(K3,A4:A13,1)+1</f>
        <v>2</v>
      </c>
      <c r="L4" s="24" t="s">
        <v>125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 t="e">
        <f>INDEX(B4:G13,K4,J4)</f>
        <v>#N/A</v>
      </c>
      <c r="K6" s="24">
        <f>IF(ISNA(J6),0, ROUNDUP( J6/0.036,0))</f>
        <v>0</v>
      </c>
      <c r="L6" s="24" t="s">
        <v>126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1</v>
      </c>
      <c r="L7" s="24" t="s">
        <v>127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4.3</v>
      </c>
      <c r="K10" s="24">
        <f>ROUNDUP(0.002*POWER(J10,2)+1.03*J10+0.73,0)</f>
        <v>6</v>
      </c>
      <c r="L10" s="24">
        <f>K10*0.036</f>
        <v>0.21599999999999997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H35"/>
  <sheetViews>
    <sheetView view="pageBreakPreview" zoomScale="60" zoomScaleNormal="100" workbookViewId="0">
      <selection activeCell="N15" sqref="N15"/>
    </sheetView>
  </sheetViews>
  <sheetFormatPr baseColWidth="10" defaultRowHeight="15" x14ac:dyDescent="0.25"/>
  <cols>
    <col min="2" max="2" width="26.85546875" customWidth="1"/>
    <col min="3" max="3" width="21.5703125" style="24" customWidth="1"/>
    <col min="4" max="4" width="14.28515625" customWidth="1"/>
    <col min="5" max="5" width="19.42578125" customWidth="1"/>
    <col min="6" max="6" width="14.7109375" customWidth="1"/>
    <col min="7" max="7" width="19.7109375" bestFit="1" customWidth="1"/>
    <col min="8" max="8" width="21.28515625" bestFit="1" customWidth="1"/>
  </cols>
  <sheetData>
    <row r="2" spans="1:8" ht="19.5" thickBot="1" x14ac:dyDescent="0.35">
      <c r="B2" s="76" t="s">
        <v>149</v>
      </c>
      <c r="C2" s="76" t="s">
        <v>153</v>
      </c>
      <c r="D2" s="76" t="s">
        <v>78</v>
      </c>
      <c r="E2" s="76" t="s">
        <v>150</v>
      </c>
      <c r="F2" s="76" t="s">
        <v>86</v>
      </c>
      <c r="G2" s="76" t="s">
        <v>151</v>
      </c>
      <c r="H2" s="76" t="s">
        <v>152</v>
      </c>
    </row>
    <row r="3" spans="1:8" ht="19.5" thickTop="1" x14ac:dyDescent="0.3">
      <c r="A3" s="30"/>
      <c r="B3" s="30"/>
      <c r="C3" s="30"/>
      <c r="D3" s="30"/>
      <c r="E3" s="30"/>
      <c r="F3" s="30"/>
      <c r="G3" s="30"/>
      <c r="H3" s="30"/>
    </row>
    <row r="4" spans="1:8" ht="18.75" x14ac:dyDescent="0.3">
      <c r="A4" s="30"/>
      <c r="B4" s="30"/>
      <c r="C4" s="30"/>
      <c r="D4" s="30"/>
      <c r="E4" s="30"/>
      <c r="F4" s="30"/>
      <c r="G4" s="30"/>
      <c r="H4" s="30"/>
    </row>
    <row r="5" spans="1:8" ht="18.75" x14ac:dyDescent="0.3">
      <c r="A5" s="30"/>
      <c r="B5" s="30"/>
      <c r="C5" s="30"/>
      <c r="D5" s="30"/>
      <c r="E5" s="30"/>
      <c r="F5" s="30"/>
      <c r="G5" s="30"/>
      <c r="H5" s="30"/>
    </row>
    <row r="6" spans="1:8" ht="18.75" x14ac:dyDescent="0.3">
      <c r="A6" s="30"/>
      <c r="B6" s="30"/>
      <c r="C6" s="30"/>
      <c r="D6" s="30"/>
      <c r="E6" s="30"/>
      <c r="F6" s="30"/>
      <c r="G6" s="30"/>
      <c r="H6" s="30"/>
    </row>
    <row r="7" spans="1:8" ht="18.75" x14ac:dyDescent="0.3">
      <c r="A7" s="30"/>
      <c r="B7" s="30"/>
      <c r="C7" s="30"/>
      <c r="D7" s="30"/>
      <c r="E7" s="30"/>
      <c r="F7" s="30"/>
      <c r="G7" s="30"/>
      <c r="H7" s="30"/>
    </row>
    <row r="8" spans="1:8" ht="18.75" x14ac:dyDescent="0.3">
      <c r="A8" s="30"/>
      <c r="B8" s="30"/>
      <c r="C8" s="30"/>
      <c r="D8" s="30"/>
      <c r="E8" s="30"/>
      <c r="F8" s="30"/>
      <c r="G8" s="30"/>
      <c r="H8" s="30"/>
    </row>
    <row r="9" spans="1:8" ht="18.75" x14ac:dyDescent="0.3">
      <c r="A9" s="30"/>
      <c r="B9" s="30"/>
      <c r="C9" s="30"/>
      <c r="D9" s="30"/>
      <c r="E9" s="30"/>
      <c r="F9" s="30"/>
      <c r="G9" s="30"/>
      <c r="H9" s="30"/>
    </row>
    <row r="10" spans="1:8" ht="18.75" x14ac:dyDescent="0.3">
      <c r="A10" s="30"/>
      <c r="B10" s="30"/>
      <c r="C10" s="30"/>
      <c r="D10" s="30"/>
      <c r="E10" s="30"/>
      <c r="F10" s="30"/>
      <c r="G10" s="30"/>
      <c r="H10" s="30"/>
    </row>
    <row r="11" spans="1:8" ht="18.75" x14ac:dyDescent="0.3">
      <c r="A11" s="30"/>
      <c r="B11" s="30"/>
      <c r="C11" s="30"/>
      <c r="D11" s="30"/>
      <c r="E11" s="30"/>
      <c r="F11" s="30"/>
      <c r="G11" s="30"/>
      <c r="H11" s="30"/>
    </row>
    <row r="12" spans="1:8" ht="18.75" x14ac:dyDescent="0.3">
      <c r="A12" s="30"/>
      <c r="B12" s="30"/>
      <c r="C12" s="30"/>
      <c r="D12" s="30"/>
      <c r="E12" s="30"/>
      <c r="F12" s="30"/>
      <c r="G12" s="30"/>
      <c r="H12" s="30"/>
    </row>
    <row r="13" spans="1:8" ht="18.75" x14ac:dyDescent="0.3">
      <c r="A13" s="30"/>
      <c r="B13" s="30"/>
      <c r="C13" s="30"/>
      <c r="D13" s="30"/>
      <c r="E13" s="30"/>
      <c r="F13" s="30"/>
      <c r="G13" s="30"/>
      <c r="H13" s="30"/>
    </row>
    <row r="14" spans="1:8" ht="18.75" x14ac:dyDescent="0.3">
      <c r="A14" s="30"/>
      <c r="B14" s="30"/>
      <c r="C14" s="30"/>
      <c r="D14" s="30"/>
      <c r="E14" s="30"/>
      <c r="F14" s="30"/>
      <c r="G14" s="30"/>
      <c r="H14" s="30"/>
    </row>
    <row r="15" spans="1:8" ht="18.75" x14ac:dyDescent="0.3">
      <c r="A15" s="30"/>
      <c r="B15" s="30"/>
      <c r="C15" s="30"/>
      <c r="D15" s="30"/>
      <c r="E15" s="30"/>
      <c r="F15" s="30"/>
      <c r="G15" s="30"/>
      <c r="H15" s="30"/>
    </row>
    <row r="16" spans="1:8" ht="18.75" x14ac:dyDescent="0.3">
      <c r="A16" s="30"/>
      <c r="B16" s="30"/>
      <c r="C16" s="30"/>
      <c r="D16" s="30"/>
      <c r="E16" s="30"/>
      <c r="F16" s="30"/>
      <c r="G16" s="30"/>
      <c r="H16" s="30"/>
    </row>
    <row r="17" spans="1:8" ht="18.75" x14ac:dyDescent="0.3">
      <c r="A17" s="30"/>
      <c r="B17" s="30"/>
      <c r="C17" s="30"/>
      <c r="D17" s="30"/>
      <c r="E17" s="30"/>
      <c r="F17" s="30"/>
      <c r="G17" s="30"/>
      <c r="H17" s="30"/>
    </row>
    <row r="18" spans="1:8" ht="18.75" x14ac:dyDescent="0.3">
      <c r="A18" s="30"/>
      <c r="B18" s="30"/>
      <c r="C18" s="30"/>
      <c r="D18" s="30"/>
      <c r="E18" s="30"/>
      <c r="F18" s="30"/>
      <c r="G18" s="30"/>
      <c r="H18" s="30"/>
    </row>
    <row r="19" spans="1:8" ht="18.75" x14ac:dyDescent="0.3">
      <c r="A19" s="30"/>
      <c r="B19" s="30"/>
      <c r="C19" s="30"/>
      <c r="D19" s="30"/>
      <c r="E19" s="30"/>
      <c r="F19" s="30"/>
      <c r="G19" s="30"/>
      <c r="H19" s="30"/>
    </row>
    <row r="20" spans="1:8" ht="18.75" x14ac:dyDescent="0.3">
      <c r="A20" s="30"/>
      <c r="B20" s="30"/>
      <c r="C20" s="30"/>
      <c r="D20" s="30"/>
      <c r="E20" s="30"/>
      <c r="F20" s="30"/>
      <c r="G20" s="30"/>
      <c r="H20" s="30"/>
    </row>
    <row r="21" spans="1:8" ht="18.75" x14ac:dyDescent="0.3">
      <c r="A21" s="30"/>
      <c r="B21" s="30"/>
      <c r="C21" s="30"/>
      <c r="D21" s="30"/>
      <c r="E21" s="30"/>
      <c r="F21" s="30"/>
      <c r="G21" s="30"/>
      <c r="H21" s="30"/>
    </row>
    <row r="22" spans="1:8" ht="18.75" x14ac:dyDescent="0.3">
      <c r="A22" s="30"/>
      <c r="B22" s="30"/>
      <c r="C22" s="30"/>
      <c r="D22" s="30"/>
      <c r="E22" s="30"/>
      <c r="F22" s="30"/>
      <c r="G22" s="30"/>
      <c r="H22" s="30"/>
    </row>
    <row r="23" spans="1:8" ht="18.75" x14ac:dyDescent="0.3">
      <c r="A23" s="30"/>
      <c r="B23" s="30"/>
      <c r="C23" s="30"/>
      <c r="D23" s="30"/>
      <c r="E23" s="30"/>
      <c r="F23" s="30"/>
      <c r="G23" s="30"/>
      <c r="H23" s="30"/>
    </row>
    <row r="24" spans="1:8" ht="18.75" x14ac:dyDescent="0.3">
      <c r="A24" s="30"/>
      <c r="B24" s="30"/>
      <c r="C24" s="30"/>
      <c r="D24" s="30"/>
      <c r="E24" s="30"/>
      <c r="F24" s="30"/>
      <c r="G24" s="30"/>
      <c r="H24" s="30"/>
    </row>
    <row r="25" spans="1:8" ht="18.75" x14ac:dyDescent="0.3">
      <c r="A25" s="30"/>
      <c r="B25" s="30"/>
      <c r="C25" s="30"/>
      <c r="D25" s="30"/>
      <c r="E25" s="30"/>
      <c r="F25" s="30"/>
      <c r="G25" s="30"/>
      <c r="H25" s="30"/>
    </row>
    <row r="26" spans="1:8" ht="18.75" x14ac:dyDescent="0.3">
      <c r="A26" s="30"/>
      <c r="B26" s="30"/>
      <c r="C26" s="30"/>
      <c r="D26" s="30"/>
      <c r="E26" s="30"/>
      <c r="F26" s="30"/>
      <c r="G26" s="30"/>
      <c r="H26" s="30"/>
    </row>
    <row r="27" spans="1:8" ht="18.75" x14ac:dyDescent="0.3">
      <c r="A27" s="30"/>
      <c r="B27" s="30"/>
      <c r="C27" s="30"/>
      <c r="D27" s="30"/>
      <c r="E27" s="30"/>
      <c r="F27" s="30"/>
      <c r="G27" s="30"/>
      <c r="H27" s="30"/>
    </row>
    <row r="28" spans="1:8" ht="18.75" x14ac:dyDescent="0.3">
      <c r="A28" s="30"/>
      <c r="B28" s="30"/>
      <c r="C28" s="30"/>
      <c r="D28" s="30"/>
      <c r="E28" s="30"/>
      <c r="F28" s="30"/>
      <c r="G28" s="30"/>
      <c r="H28" s="30"/>
    </row>
    <row r="29" spans="1:8" ht="18.75" x14ac:dyDescent="0.3">
      <c r="A29" s="30"/>
      <c r="B29" s="30"/>
      <c r="C29" s="30"/>
      <c r="D29" s="30"/>
      <c r="E29" s="30"/>
      <c r="F29" s="30"/>
      <c r="G29" s="30"/>
      <c r="H29" s="30"/>
    </row>
    <row r="30" spans="1:8" ht="18.75" x14ac:dyDescent="0.3">
      <c r="A30" s="30"/>
      <c r="B30" s="30"/>
      <c r="C30" s="30"/>
      <c r="D30" s="30"/>
      <c r="E30" s="30"/>
      <c r="F30" s="30"/>
      <c r="G30" s="30"/>
      <c r="H30" s="30"/>
    </row>
    <row r="31" spans="1:8" ht="18.75" x14ac:dyDescent="0.3">
      <c r="A31" s="30"/>
      <c r="B31" s="30"/>
      <c r="C31" s="30"/>
      <c r="D31" s="30"/>
      <c r="E31" s="30"/>
      <c r="F31" s="30"/>
      <c r="G31" s="30"/>
      <c r="H31" s="30"/>
    </row>
    <row r="32" spans="1:8" ht="18.75" x14ac:dyDescent="0.3">
      <c r="A32" s="30"/>
      <c r="B32" s="30"/>
      <c r="C32" s="30"/>
      <c r="D32" s="30"/>
      <c r="E32" s="30"/>
      <c r="F32" s="30"/>
      <c r="G32" s="30"/>
      <c r="H32" s="30"/>
    </row>
    <row r="33" spans="1:8" ht="18.75" x14ac:dyDescent="0.3">
      <c r="A33" s="30"/>
      <c r="B33" s="30"/>
      <c r="C33" s="30"/>
      <c r="D33" s="30"/>
      <c r="E33" s="30"/>
      <c r="F33" s="30"/>
      <c r="G33" s="30"/>
      <c r="H33" s="30"/>
    </row>
    <row r="34" spans="1:8" ht="18.75" x14ac:dyDescent="0.3">
      <c r="A34" s="30"/>
      <c r="B34" s="30"/>
      <c r="C34" s="30"/>
      <c r="D34" s="30"/>
      <c r="E34" s="30"/>
      <c r="F34" s="30"/>
      <c r="G34" s="30"/>
      <c r="H34" s="30"/>
    </row>
    <row r="35" spans="1:8" ht="18.75" x14ac:dyDescent="0.3">
      <c r="A35" s="30"/>
      <c r="B35" s="30"/>
      <c r="C35" s="30"/>
      <c r="D35" s="30"/>
      <c r="E35" s="30"/>
      <c r="F35" s="30"/>
      <c r="G35" s="30"/>
      <c r="H35" s="30"/>
    </row>
  </sheetData>
  <pageMargins left="0.7" right="0.7" top="0.75" bottom="0.75" header="0.3" footer="0.3"/>
  <pageSetup paperSize="9" scale="77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22</vt:i4>
      </vt:variant>
    </vt:vector>
  </HeadingPairs>
  <TitlesOfParts>
    <vt:vector size="27" baseType="lpstr">
      <vt:lpstr>Calcul Sequence</vt:lpstr>
      <vt:lpstr>Calcul Temps Technique</vt:lpstr>
      <vt:lpstr>Abaques</vt:lpstr>
      <vt:lpstr>Manutention</vt:lpstr>
      <vt:lpstr>Feuille Inventaire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  <vt:lpstr>'Calcul Temps Technique'!Zone_d_impression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2014-11-27T13:34:06Z</cp:lastPrinted>
  <dcterms:created xsi:type="dcterms:W3CDTF">2014-11-03T07:49:22Z</dcterms:created>
  <dcterms:modified xsi:type="dcterms:W3CDTF">2014-11-27T16:37:17Z</dcterms:modified>
</cp:coreProperties>
</file>