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24780" windowHeight="12150" activeTab="7"/>
  </bookViews>
  <sheets>
    <sheet name="Accueil" sheetId="4" r:id="rId1"/>
    <sheet name="005_001" sheetId="2" r:id="rId2"/>
    <sheet name="005_002" sheetId="3" r:id="rId3"/>
    <sheet name="005_003" sheetId="1" r:id="rId4"/>
    <sheet name="006" sheetId="5" r:id="rId5"/>
    <sheet name="007" sheetId="6" r:id="rId6"/>
    <sheet name="008" sheetId="7" r:id="rId7"/>
    <sheet name="002_001" sheetId="9" r:id="rId8"/>
    <sheet name="002_002" sheetId="8" r:id="rId9"/>
  </sheets>
  <functionGroups builtInGroupCount="17"/>
  <externalReferences>
    <externalReference r:id="rId10"/>
    <externalReference r:id="rId11"/>
  </externalReferences>
  <definedNames>
    <definedName name="S002_epaisseur">'002_002'!$B$8:$B$27</definedName>
    <definedName name="S002_matrice" localSheetId="8">'002_002'!$B$7:$T$27</definedName>
    <definedName name="S002_rayon">'002_002'!$C$7:$T$7</definedName>
    <definedName name="S005_largeur">'005_003'!$A$3:$A$38</definedName>
    <definedName name="S005_longueur">'005_003'!$B$2:$AK$2</definedName>
    <definedName name="S005_matrice">'005_003'!$A$2:$AK$38</definedName>
  </definedNames>
  <calcPr calcId="145621"/>
</workbook>
</file>

<file path=xl/calcChain.xml><?xml version="1.0" encoding="utf-8"?>
<calcChain xmlns="http://schemas.openxmlformats.org/spreadsheetml/2006/main">
  <c r="D12" i="9" l="1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E14" i="7" l="1"/>
  <c r="G14" i="7" s="1"/>
  <c r="G12" i="7"/>
  <c r="E12" i="7"/>
  <c r="D10" i="6"/>
  <c r="B13" i="6" s="1"/>
  <c r="R16" i="5"/>
  <c r="R14" i="5"/>
  <c r="R18" i="5" s="1"/>
  <c r="Q14" i="5"/>
  <c r="P14" i="5"/>
  <c r="P18" i="5" s="1"/>
  <c r="C12" i="5"/>
  <c r="P15" i="5" s="1"/>
  <c r="M11" i="6" l="1"/>
  <c r="Q18" i="5"/>
  <c r="P20" i="5" s="1"/>
  <c r="Q15" i="5"/>
  <c r="S18" i="5" l="1"/>
  <c r="C15" i="5" s="1"/>
  <c r="A8" i="2" l="1"/>
  <c r="A7" i="2"/>
  <c r="A4" i="2"/>
  <c r="A3" i="2"/>
  <c r="D7" i="3" l="1"/>
  <c r="D8" i="3" s="1"/>
  <c r="D7" i="2" l="1"/>
  <c r="D8" i="2"/>
</calcChain>
</file>

<file path=xl/comments1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sharedStrings.xml><?xml version="1.0" encoding="utf-8"?>
<sst xmlns="http://schemas.openxmlformats.org/spreadsheetml/2006/main" count="67" uniqueCount="56">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</sst>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&quot; °&quot;"/>
    <numFmt numFmtId="165" formatCode="0.000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6"/>
      <color rgb="FF00000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sz val="16"/>
      <color rgb="FF000000"/>
      <name val="Arial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3" fillId="0" borderId="1" xfId="2" applyAlignment="1">
      <alignment horizontal="center"/>
    </xf>
    <xf numFmtId="0" fontId="12" fillId="0" borderId="0" xfId="6"/>
    <xf numFmtId="0" fontId="14" fillId="0" borderId="0" xfId="6" applyFont="1"/>
    <xf numFmtId="0" fontId="15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165" fontId="16" fillId="0" borderId="8" xfId="1" applyNumberFormat="1" applyFont="1" applyBorder="1" applyAlignment="1">
      <alignment horizontal="center"/>
    </xf>
    <xf numFmtId="165" fontId="16" fillId="0" borderId="9" xfId="1" applyNumberFormat="1" applyFont="1" applyBorder="1" applyAlignment="1">
      <alignment horizontal="center"/>
    </xf>
    <xf numFmtId="0" fontId="17" fillId="6" borderId="10" xfId="6" applyFont="1" applyFill="1" applyBorder="1" applyAlignment="1">
      <alignment horizontal="center" vertical="center" wrapText="1"/>
    </xf>
    <xf numFmtId="0" fontId="18" fillId="7" borderId="10" xfId="6" applyFont="1" applyFill="1" applyBorder="1" applyAlignment="1">
      <alignment vertical="center" wrapText="1"/>
    </xf>
    <xf numFmtId="0" fontId="19" fillId="0" borderId="0" xfId="6" applyFont="1" applyAlignment="1">
      <alignment horizontal="center" vertical="center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1" fillId="0" borderId="0" xfId="6" applyFont="1" applyBorder="1"/>
    <xf numFmtId="165" fontId="16" fillId="0" borderId="11" xfId="1" applyNumberFormat="1" applyFont="1" applyBorder="1"/>
    <xf numFmtId="0" fontId="22" fillId="0" borderId="0" xfId="6" applyFont="1" applyProtection="1">
      <protection hidden="1"/>
    </xf>
    <xf numFmtId="0" fontId="23" fillId="0" borderId="0" xfId="6" applyFont="1" applyAlignment="1">
      <alignment horizontal="center"/>
    </xf>
    <xf numFmtId="0" fontId="24" fillId="0" borderId="0" xfId="6" applyFont="1" applyAlignment="1">
      <alignment horizontal="center"/>
    </xf>
    <xf numFmtId="0" fontId="25" fillId="0" borderId="0" xfId="6" applyFont="1"/>
    <xf numFmtId="0" fontId="26" fillId="0" borderId="0" xfId="6" applyFont="1"/>
    <xf numFmtId="0" fontId="27" fillId="0" borderId="0" xfId="6" applyFont="1"/>
    <xf numFmtId="0" fontId="2" fillId="0" borderId="0" xfId="1" applyAlignment="1">
      <alignment horizontal="center"/>
    </xf>
    <xf numFmtId="0" fontId="15" fillId="2" borderId="12" xfId="3" applyFont="1" applyBorder="1" applyAlignment="1">
      <alignment horizontal="center" vertical="center"/>
    </xf>
    <xf numFmtId="0" fontId="15" fillId="2" borderId="5" xfId="3" applyFont="1" applyBorder="1" applyAlignment="1">
      <alignment horizontal="center" vertical="center"/>
    </xf>
    <xf numFmtId="0" fontId="12" fillId="0" borderId="0" xfId="6" applyFont="1"/>
    <xf numFmtId="0" fontId="2" fillId="5" borderId="13" xfId="1" applyFill="1" applyBorder="1" applyAlignment="1" applyProtection="1">
      <alignment horizontal="center" vertical="center"/>
      <protection locked="0"/>
    </xf>
    <xf numFmtId="0" fontId="2" fillId="5" borderId="7" xfId="1" applyFill="1" applyBorder="1" applyAlignment="1" applyProtection="1">
      <alignment horizontal="center" vertical="center"/>
      <protection locked="0"/>
    </xf>
    <xf numFmtId="0" fontId="28" fillId="2" borderId="0" xfId="3" applyFont="1" applyAlignment="1">
      <alignment horizontal="center"/>
    </xf>
    <xf numFmtId="0" fontId="29" fillId="0" borderId="0" xfId="6" applyFont="1" applyAlignment="1">
      <alignment horizontal="right"/>
    </xf>
    <xf numFmtId="0" fontId="12" fillId="0" borderId="0" xfId="6" applyAlignment="1">
      <alignment horizontal="center"/>
    </xf>
    <xf numFmtId="165" fontId="30" fillId="0" borderId="0" xfId="6" applyNumberFormat="1" applyFont="1"/>
    <xf numFmtId="0" fontId="33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4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5" fillId="0" borderId="0" xfId="6" applyFont="1"/>
    <xf numFmtId="0" fontId="3" fillId="0" borderId="1" xfId="2" applyAlignment="1">
      <alignment horizontal="center" wrapText="1"/>
    </xf>
    <xf numFmtId="1" fontId="2" fillId="5" borderId="6" xfId="1" applyNumberFormat="1" applyFill="1" applyBorder="1" applyAlignment="1" applyProtection="1">
      <alignment horizontal="center" vertical="center"/>
      <protection locked="0"/>
    </xf>
    <xf numFmtId="1" fontId="16" fillId="0" borderId="8" xfId="1" applyNumberFormat="1" applyFont="1" applyBorder="1" applyAlignment="1">
      <alignment horizontal="center"/>
    </xf>
    <xf numFmtId="1" fontId="16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</cellXfs>
  <cellStyles count="7">
    <cellStyle name="40 % - Accent1" xfId="4" builtinId="31"/>
    <cellStyle name="Accent1" xfId="3" builtinId="29"/>
    <cellStyle name="Lien hypertexte" xfId="5" builtinId="8"/>
    <cellStyle name="Normal" xfId="0" builtinId="0"/>
    <cellStyle name="Normal 2" xfId="6"/>
    <cellStyle name="Titre" xfId="1" builtinId="15"/>
    <cellStyle name="Titre 1" xfId="2" builtinId="16"/>
  </cellStyles>
  <dxfs count="28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1361688</xdr:colOff>
      <xdr:row>3</xdr:row>
      <xdr:rowOff>9525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61688" cy="533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19050</xdr:rowOff>
        </xdr:from>
        <xdr:to>
          <xdr:col>0</xdr:col>
          <xdr:colOff>1362075</xdr:colOff>
          <xdr:row>6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19050</xdr:rowOff>
        </xdr:from>
        <xdr:to>
          <xdr:col>0</xdr:col>
          <xdr:colOff>1400175</xdr:colOff>
          <xdr:row>9</xdr:row>
          <xdr:rowOff>133350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j%20gestion%20documentaire/aptegalva-CEQ.xlt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aj%20gestion%20documentaire/choix%20des%20V&#233;s%20de%20pliage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titude Galvanisation"/>
      <sheetName val="NAKAMURA"/>
      <sheetName val="Equivalent Carbone"/>
      <sheetName val="Accueil"/>
    </sheetNames>
    <definedNames>
      <definedName name="Accueil_Bouton5_Cliquer"/>
      <definedName name="Bouton4_Cliquer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oix Vé"/>
      <sheetName val="abaques"/>
    </sheetNames>
    <definedNames>
      <definedName name="Bouton5_Cliquer"/>
      <definedName name="Bouton6_Cliquer"/>
      <definedName name="ChoixVé_Bouton6_Cliquer"/>
    </definedNames>
    <sheetDataSet>
      <sheetData sheetId="0" refreshError="1"/>
      <sheetData sheetId="1">
        <row r="7">
          <cell r="B7" t="str">
            <v>ep   /   rayon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3"/>
  </sheetPr>
  <dimension ref="A1:D9"/>
  <sheetViews>
    <sheetView workbookViewId="0">
      <selection activeCell="B22" sqref="B22"/>
    </sheetView>
  </sheetViews>
  <sheetFormatPr baseColWidth="10" defaultRowHeight="15"/>
  <cols>
    <col min="1" max="1" width="11.42578125" style="5" customWidth="1"/>
    <col min="2" max="2" width="30" customWidth="1"/>
    <col min="3" max="3" width="28.42578125" customWidth="1"/>
    <col min="4" max="4" width="14.140625" bestFit="1" customWidth="1"/>
  </cols>
  <sheetData>
    <row r="1" spans="1:4" ht="36">
      <c r="C1" s="14" t="s">
        <v>1</v>
      </c>
      <c r="D1" s="14"/>
    </row>
    <row r="2" spans="1:4" ht="15.75" thickBot="1"/>
    <row r="3" spans="1:4" ht="26.25">
      <c r="A3" s="5">
        <f>MATCH(D3,S005_largeur)+1</f>
        <v>14</v>
      </c>
      <c r="C3" s="6" t="s">
        <v>2</v>
      </c>
      <c r="D3" s="7">
        <v>13</v>
      </c>
    </row>
    <row r="4" spans="1:4" ht="27" thickBot="1">
      <c r="A4" s="5">
        <f>MATCH(D4,S005_largeur)+1</f>
        <v>35</v>
      </c>
      <c r="C4" s="8" t="s">
        <v>3</v>
      </c>
      <c r="D4" s="9">
        <v>40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35</v>
      </c>
      <c r="C7" s="6" t="s">
        <v>4</v>
      </c>
      <c r="D7" s="11">
        <f>IF(INDEX(S005_matrice,A4,A3)=0,"NON Applicable",INDEX(S005_matrice,A4,A3))</f>
        <v>73</v>
      </c>
    </row>
    <row r="8" spans="1:4" ht="29.25" thickBot="1">
      <c r="A8" s="5">
        <f>MATCH(D3,S005_largeur)+1</f>
        <v>14</v>
      </c>
      <c r="C8" s="8" t="s">
        <v>5</v>
      </c>
      <c r="D8" s="12">
        <f>IF(INDEX(S005_matrice,A8,A7)=0,"NON Applicable",INDEX(S005_matrice,A8,A7))</f>
        <v>17</v>
      </c>
    </row>
    <row r="9" spans="1:4">
      <c r="C9" s="13"/>
    </row>
  </sheetData>
  <mergeCells count="1">
    <mergeCell ref="C1:D1"/>
  </mergeCells>
  <dataValidations count="2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>
      <selection activeCell="W42" sqref="W42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14" t="s">
        <v>6</v>
      </c>
      <c r="D1" s="14"/>
      <c r="E1" s="14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>
      <selection activeCell="U21" sqref="U21"/>
    </sheetView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15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7" customWidth="1"/>
    <col min="2" max="2" width="26.42578125" style="17" customWidth="1"/>
    <col min="3" max="3" width="11.42578125" style="17"/>
    <col min="4" max="4" width="10.7109375" style="17" customWidth="1"/>
    <col min="5" max="5" width="10.85546875" style="17" bestFit="1" customWidth="1"/>
    <col min="6" max="6" width="10.140625" style="17" customWidth="1"/>
    <col min="7" max="7" width="10.85546875" style="17" bestFit="1" customWidth="1"/>
    <col min="8" max="9" width="15.7109375" style="17" customWidth="1"/>
    <col min="10" max="10" width="15.5703125" style="17" bestFit="1" customWidth="1"/>
    <col min="11" max="14" width="11.42578125" style="17"/>
    <col min="15" max="15" width="0" style="17" hidden="1" customWidth="1"/>
    <col min="16" max="16" width="13.140625" style="17" hidden="1" customWidth="1"/>
    <col min="17" max="17" width="14" style="17" hidden="1" customWidth="1"/>
    <col min="18" max="18" width="16.85546875" style="17" hidden="1" customWidth="1"/>
    <col min="19" max="19" width="0" style="17" hidden="1" customWidth="1"/>
    <col min="20" max="16384" width="11.42578125" style="17"/>
  </cols>
  <sheetData>
    <row r="1" spans="3:18" ht="20.25" thickBot="1">
      <c r="C1" s="16" t="s">
        <v>7</v>
      </c>
      <c r="D1" s="16"/>
      <c r="E1" s="16"/>
      <c r="F1" s="16"/>
      <c r="G1" s="16"/>
    </row>
    <row r="2" spans="3:18" ht="13.5" thickTop="1"/>
    <row r="6" spans="3:18" ht="23.25">
      <c r="C6" s="18" t="s">
        <v>8</v>
      </c>
    </row>
    <row r="7" spans="3:18" ht="13.5" thickBot="1"/>
    <row r="8" spans="3:18" ht="25.5" customHeight="1">
      <c r="C8" s="19" t="s">
        <v>9</v>
      </c>
      <c r="D8" s="19" t="s">
        <v>10</v>
      </c>
    </row>
    <row r="9" spans="3:18" ht="26.25" customHeight="1" thickBot="1">
      <c r="C9" s="20">
        <v>3.5000000000000003E-2</v>
      </c>
      <c r="D9" s="20">
        <v>5.0000000000000001E-3</v>
      </c>
    </row>
    <row r="10" spans="3:18" ht="24" customHeight="1"/>
    <row r="11" spans="3:18" ht="15.75" customHeight="1" thickBot="1"/>
    <row r="12" spans="3:18" ht="30.75" thickBot="1">
      <c r="C12" s="21">
        <f>C9+(2.5*D9)</f>
        <v>4.7500000000000001E-2</v>
      </c>
      <c r="D12" s="22"/>
      <c r="F12" s="23" t="s">
        <v>11</v>
      </c>
      <c r="G12" s="23" t="s">
        <v>12</v>
      </c>
      <c r="H12" s="23" t="s">
        <v>13</v>
      </c>
      <c r="I12" s="23" t="s">
        <v>14</v>
      </c>
    </row>
    <row r="13" spans="3:18" ht="15.75" thickBot="1">
      <c r="F13" s="24" t="s">
        <v>9</v>
      </c>
      <c r="G13" s="24" t="s">
        <v>15</v>
      </c>
      <c r="H13" s="24" t="s">
        <v>16</v>
      </c>
      <c r="I13" s="24" t="s">
        <v>17</v>
      </c>
    </row>
    <row r="14" spans="3:18" ht="15.75" thickBot="1">
      <c r="F14" s="24" t="s">
        <v>18</v>
      </c>
      <c r="G14" s="24" t="s">
        <v>19</v>
      </c>
      <c r="H14" s="24" t="s">
        <v>20</v>
      </c>
      <c r="I14" s="24" t="s">
        <v>21</v>
      </c>
      <c r="P14" s="17" t="b">
        <f>C9&lt;=0.03</f>
        <v>0</v>
      </c>
      <c r="Q14" s="17" t="b">
        <f>C9&lt;=0.04</f>
        <v>1</v>
      </c>
      <c r="R14" s="17" t="b">
        <f>AND(C9&gt;=0.14,C9&lt;=0.25)</f>
        <v>0</v>
      </c>
    </row>
    <row r="15" spans="3:18" ht="18.75" thickBot="1">
      <c r="C15" s="25" t="str">
        <f>IF(S18,"Matière inapte",CONCATENATE(P20," Ok"))</f>
        <v>Classe 2 Ok</v>
      </c>
      <c r="D15" s="25"/>
      <c r="F15" s="24" t="s">
        <v>10</v>
      </c>
      <c r="G15" s="24" t="s">
        <v>21</v>
      </c>
      <c r="H15" s="24" t="s">
        <v>21</v>
      </c>
      <c r="I15" s="24" t="s">
        <v>22</v>
      </c>
      <c r="P15" s="17" t="b">
        <f>C12&lt;=0.09</f>
        <v>1</v>
      </c>
      <c r="Q15" s="17" t="b">
        <f>C12&lt;=0.11</f>
        <v>1</v>
      </c>
    </row>
    <row r="16" spans="3:18" ht="30.75" customHeight="1">
      <c r="R16" s="17" t="b">
        <f>D9&lt;=0.035</f>
        <v>1</v>
      </c>
    </row>
    <row r="17" spans="16:19" ht="27.75" customHeight="1"/>
    <row r="18" spans="16:19">
      <c r="P18" s="17" t="b">
        <f>AND(P14,P15)</f>
        <v>0</v>
      </c>
      <c r="Q18" s="17" t="b">
        <f>AND(Q14,Q15)</f>
        <v>1</v>
      </c>
      <c r="R18" s="17" t="b">
        <f>AND(R14,R16)</f>
        <v>0</v>
      </c>
      <c r="S18" s="17" t="b">
        <f>AND(NOT(P18),NOT(Q18),NOT(R18))</f>
        <v>0</v>
      </c>
    </row>
    <row r="20" spans="16:19">
      <c r="P20" s="17" t="str">
        <f>IF(P18,G12,IF(Q18,H12,IF(R18,I12,"Inapte")))</f>
        <v>Classe 2</v>
      </c>
    </row>
  </sheetData>
  <mergeCells count="3">
    <mergeCell ref="C1:G1"/>
    <mergeCell ref="C12:D12"/>
    <mergeCell ref="C15:D15"/>
  </mergeCells>
  <conditionalFormatting sqref="G13">
    <cfRule type="expression" dxfId="27" priority="13">
      <formula>$P$14</formula>
    </cfRule>
    <cfRule type="expression" dxfId="26" priority="14">
      <formula>NOT($P$14)</formula>
    </cfRule>
  </conditionalFormatting>
  <conditionalFormatting sqref="H13">
    <cfRule type="expression" dxfId="25" priority="11">
      <formula>$Q$14</formula>
    </cfRule>
    <cfRule type="expression" dxfId="24" priority="12">
      <formula>NOT($Q$14)</formula>
    </cfRule>
  </conditionalFormatting>
  <conditionalFormatting sqref="I13">
    <cfRule type="expression" dxfId="23" priority="9">
      <formula>$R$14</formula>
    </cfRule>
    <cfRule type="expression" dxfId="22" priority="10">
      <formula>NOT($R$14)</formula>
    </cfRule>
  </conditionalFormatting>
  <conditionalFormatting sqref="I15">
    <cfRule type="expression" dxfId="21" priority="7">
      <formula>$R$16</formula>
    </cfRule>
    <cfRule type="expression" dxfId="20" priority="8">
      <formula>NOT($R$14)</formula>
    </cfRule>
  </conditionalFormatting>
  <conditionalFormatting sqref="H14">
    <cfRule type="expression" dxfId="19" priority="5">
      <formula>$Q$15</formula>
    </cfRule>
    <cfRule type="expression" dxfId="18" priority="6">
      <formula>NOT($Q$15)</formula>
    </cfRule>
  </conditionalFormatting>
  <conditionalFormatting sqref="G14">
    <cfRule type="expression" dxfId="17" priority="3">
      <formula>$P$15</formula>
    </cfRule>
    <cfRule type="expression" dxfId="16" priority="4">
      <formula>NOT($P$15)</formula>
    </cfRule>
  </conditionalFormatting>
  <conditionalFormatting sqref="C15:D15">
    <cfRule type="expression" dxfId="15" priority="1">
      <formula>NOT($S$18)</formula>
    </cfRule>
    <cfRule type="expression" dxfId="14" priority="2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/>
  </sheetViews>
  <sheetFormatPr baseColWidth="10" defaultRowHeight="12.75"/>
  <cols>
    <col min="1" max="1" width="17.42578125" style="17" customWidth="1"/>
    <col min="2" max="2" width="11.42578125" style="17" customWidth="1"/>
    <col min="3" max="3" width="11.42578125" style="17"/>
    <col min="4" max="9" width="11.42578125" style="17" customWidth="1"/>
    <col min="10" max="16384" width="11.42578125" style="17"/>
  </cols>
  <sheetData>
    <row r="1" spans="2:13" ht="24.75" customHeight="1" thickBot="1">
      <c r="B1" s="16" t="s">
        <v>23</v>
      </c>
      <c r="C1" s="16"/>
      <c r="D1" s="16"/>
      <c r="E1" s="16"/>
      <c r="F1" s="16"/>
    </row>
    <row r="2" spans="2:13" ht="24.75" customHeight="1" thickTop="1">
      <c r="C2" s="26"/>
      <c r="D2" s="26"/>
      <c r="E2" s="26"/>
      <c r="F2" s="26"/>
    </row>
    <row r="3" spans="2:13" ht="24.75" customHeight="1">
      <c r="C3" s="18" t="s">
        <v>24</v>
      </c>
      <c r="D3" s="26"/>
      <c r="E3" s="26"/>
      <c r="F3" s="26"/>
    </row>
    <row r="4" spans="2:13" ht="28.5" customHeight="1" thickBot="1"/>
    <row r="5" spans="2:13" ht="26.25">
      <c r="C5" s="19" t="s">
        <v>25</v>
      </c>
      <c r="D5" s="19" t="s">
        <v>26</v>
      </c>
      <c r="E5" s="19" t="s">
        <v>27</v>
      </c>
    </row>
    <row r="6" spans="2:13" ht="23.25" thickBot="1">
      <c r="C6" s="27">
        <v>0.75800000000000001</v>
      </c>
      <c r="D6" s="27">
        <v>0.36099999999999999</v>
      </c>
      <c r="E6" s="27">
        <v>0</v>
      </c>
    </row>
    <row r="7" spans="2:13" ht="15.75">
      <c r="D7" s="28"/>
    </row>
    <row r="8" spans="2:13" ht="25.5" customHeight="1"/>
    <row r="9" spans="2:13" ht="19.5" customHeight="1" thickBot="1">
      <c r="C9" s="18"/>
      <c r="D9" s="18"/>
    </row>
    <row r="10" spans="2:13" ht="27" customHeight="1" thickBot="1">
      <c r="D10" s="29">
        <f>C6+(3.3*D6)+(8.1*E6)-2</f>
        <v>-5.0700000000000189E-2</v>
      </c>
    </row>
    <row r="11" spans="2:13">
      <c r="M11" s="30" t="b">
        <f>D10&lt;0</f>
        <v>1</v>
      </c>
    </row>
    <row r="12" spans="2:13" ht="30" customHeight="1">
      <c r="I12" s="31"/>
    </row>
    <row r="13" spans="2:13" s="33" customFormat="1" ht="27.75">
      <c r="B13" s="32" t="str">
        <f>IF(D10&lt;0,"Nakamura OK","Nakamura NON acceptable")</f>
        <v>Nakamura OK</v>
      </c>
      <c r="C13" s="32"/>
      <c r="D13" s="32"/>
      <c r="E13" s="32"/>
      <c r="F13" s="32"/>
    </row>
    <row r="14" spans="2:13" s="33" customFormat="1" ht="27.75">
      <c r="C14" s="34"/>
    </row>
    <row r="15" spans="2:13">
      <c r="F15" s="35"/>
    </row>
    <row r="17" ht="30.75" customHeight="1"/>
  </sheetData>
  <mergeCells count="2">
    <mergeCell ref="B1:F1"/>
    <mergeCell ref="B13:F13"/>
  </mergeCells>
  <conditionalFormatting sqref="B13">
    <cfRule type="expression" dxfId="13" priority="1" stopIfTrue="1">
      <formula>NOT($M$11)</formula>
    </cfRule>
    <cfRule type="expression" dxfId="12" priority="2" stopIfTrue="1">
      <formula>$M$11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D2" sqref="D2:G2"/>
    </sheetView>
  </sheetViews>
  <sheetFormatPr baseColWidth="10" defaultRowHeight="12.75"/>
  <cols>
    <col min="1" max="1" width="16.140625" style="17" customWidth="1"/>
    <col min="2" max="4" width="11.42578125" style="17"/>
    <col min="5" max="5" width="16.28515625" style="17" bestFit="1" customWidth="1"/>
    <col min="6" max="14" width="11.42578125" style="17"/>
    <col min="15" max="16" width="0" style="17" hidden="1" customWidth="1"/>
    <col min="17" max="16384" width="11.42578125" style="17"/>
  </cols>
  <sheetData>
    <row r="2" spans="2:16" ht="22.5">
      <c r="D2" s="36" t="s">
        <v>28</v>
      </c>
      <c r="E2" s="36"/>
      <c r="F2" s="36"/>
      <c r="G2" s="36"/>
    </row>
    <row r="3" spans="2:16" ht="20.25" thickBot="1">
      <c r="D3" s="16" t="s">
        <v>29</v>
      </c>
      <c r="E3" s="16"/>
      <c r="F3" s="16"/>
      <c r="G3" s="16"/>
    </row>
    <row r="4" spans="2:16" ht="54.75" customHeight="1" thickTop="1">
      <c r="C4" s="18" t="s">
        <v>30</v>
      </c>
    </row>
    <row r="7" spans="2:16" ht="13.5" thickBot="1"/>
    <row r="8" spans="2:16" ht="26.25">
      <c r="B8" s="19" t="s">
        <v>31</v>
      </c>
      <c r="C8" s="37" t="s">
        <v>32</v>
      </c>
      <c r="D8" s="37" t="s">
        <v>25</v>
      </c>
      <c r="E8" s="37" t="s">
        <v>26</v>
      </c>
      <c r="F8" s="37" t="s">
        <v>33</v>
      </c>
      <c r="G8" s="37" t="s">
        <v>34</v>
      </c>
      <c r="H8" s="38" t="s">
        <v>35</v>
      </c>
      <c r="O8" s="39" t="s">
        <v>36</v>
      </c>
    </row>
    <row r="9" spans="2:16" ht="25.5" customHeight="1" thickBot="1">
      <c r="B9" s="27">
        <v>0.157</v>
      </c>
      <c r="C9" s="40">
        <v>1.125</v>
      </c>
      <c r="D9" s="40">
        <v>1.9E-2</v>
      </c>
      <c r="E9" s="40">
        <v>1E-3</v>
      </c>
      <c r="F9" s="40">
        <v>2E-3</v>
      </c>
      <c r="G9" s="40">
        <v>1.9E-2</v>
      </c>
      <c r="H9" s="41">
        <v>0.01</v>
      </c>
      <c r="O9" s="17">
        <v>0</v>
      </c>
      <c r="P9" s="39" t="s">
        <v>37</v>
      </c>
    </row>
    <row r="10" spans="2:16">
      <c r="O10" s="17">
        <v>0.35</v>
      </c>
      <c r="P10" s="39" t="s">
        <v>38</v>
      </c>
    </row>
    <row r="11" spans="2:16" ht="24" thickBot="1">
      <c r="G11" s="42" t="s">
        <v>36</v>
      </c>
      <c r="H11" s="42"/>
      <c r="O11" s="17">
        <v>0.4</v>
      </c>
      <c r="P11" s="39" t="s">
        <v>39</v>
      </c>
    </row>
    <row r="12" spans="2:16" ht="26.25" thickBot="1">
      <c r="D12" s="43" t="s">
        <v>40</v>
      </c>
      <c r="E12" s="29">
        <f>B9+(C9/6)+((D9+E9+F9)/5)+((G9+H9)/15)</f>
        <v>0.35083333333333339</v>
      </c>
      <c r="G12" s="44" t="str">
        <f>VLOOKUP(E12,O9:P13,2)</f>
        <v>Très Bon</v>
      </c>
      <c r="H12" s="44"/>
      <c r="O12" s="17">
        <v>0.45</v>
      </c>
      <c r="P12" s="39" t="s">
        <v>41</v>
      </c>
    </row>
    <row r="13" spans="2:16" ht="26.25" thickBot="1">
      <c r="D13" s="43"/>
      <c r="E13" s="45"/>
      <c r="O13" s="17">
        <v>0.5</v>
      </c>
      <c r="P13" s="39" t="s">
        <v>42</v>
      </c>
    </row>
    <row r="14" spans="2:16" ht="26.25" thickBot="1">
      <c r="D14" s="43" t="s">
        <v>43</v>
      </c>
      <c r="E14" s="29">
        <f>B9+(C9/6)</f>
        <v>0.34450000000000003</v>
      </c>
      <c r="G14" s="44" t="str">
        <f>VLOOKUP(E14,O9:P13,2)</f>
        <v>Excellent</v>
      </c>
      <c r="H14" s="44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cellIs" dxfId="11" priority="6" stopIfTrue="1" operator="equal">
      <formula>$P$13</formula>
    </cfRule>
    <cfRule type="cellIs" dxfId="10" priority="7" stopIfTrue="1" operator="equal">
      <formula>$P$12</formula>
    </cfRule>
    <cfRule type="cellIs" dxfId="9" priority="8" stopIfTrue="1" operator="equal">
      <formula>$P$11</formula>
    </cfRule>
    <cfRule type="cellIs" dxfId="8" priority="9" stopIfTrue="1" operator="equal">
      <formula>$P$10</formula>
    </cfRule>
    <cfRule type="cellIs" dxfId="7" priority="10" stopIfTrue="1" operator="equal">
      <formula>$P$9</formula>
    </cfRule>
  </conditionalFormatting>
  <conditionalFormatting sqref="G14:H14">
    <cfRule type="cellIs" dxfId="6" priority="1" stopIfTrue="1" operator="equal">
      <formula>$P$13</formula>
    </cfRule>
    <cfRule type="cellIs" dxfId="5" priority="2" stopIfTrue="1" operator="equal">
      <formula>$P$12</formula>
    </cfRule>
    <cfRule type="cellIs" dxfId="4" priority="3" stopIfTrue="1" operator="equal">
      <formula>$P$11</formula>
    </cfRule>
    <cfRule type="cellIs" dxfId="3" priority="4" stopIfTrue="1" operator="equal">
      <formula>$P$10</formula>
    </cfRule>
    <cfRule type="cellIs" dxfId="2" priority="5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3:H16"/>
  <sheetViews>
    <sheetView tabSelected="1" workbookViewId="0">
      <selection activeCell="B9" sqref="B9"/>
    </sheetView>
  </sheetViews>
  <sheetFormatPr baseColWidth="10" defaultRowHeight="12.75"/>
  <cols>
    <col min="1" max="1" width="19.7109375" style="17" customWidth="1"/>
    <col min="2" max="3" width="11.42578125" style="17"/>
    <col min="4" max="4" width="17" style="17" bestFit="1" customWidth="1"/>
    <col min="5" max="5" width="13.140625" style="17" customWidth="1"/>
    <col min="6" max="6" width="5.7109375" style="17" hidden="1" customWidth="1"/>
    <col min="7" max="7" width="23.28515625" style="17" customWidth="1"/>
    <col min="8" max="16384" width="11.42578125" style="17"/>
  </cols>
  <sheetData>
    <row r="3" spans="2:8" ht="65.25" customHeight="1" thickBot="1">
      <c r="C3" s="60" t="s">
        <v>52</v>
      </c>
      <c r="D3" s="60"/>
      <c r="E3" s="60"/>
      <c r="F3" s="60"/>
      <c r="G3" s="60"/>
    </row>
    <row r="4" spans="2:8" ht="13.5" thickTop="1"/>
    <row r="5" spans="2:8" ht="13.5" thickBot="1"/>
    <row r="6" spans="2:8" ht="26.25">
      <c r="D6" s="19" t="s">
        <v>53</v>
      </c>
      <c r="E6" s="19" t="s">
        <v>54</v>
      </c>
    </row>
    <row r="7" spans="2:8" ht="23.25" thickBot="1">
      <c r="D7" s="61">
        <v>6</v>
      </c>
      <c r="E7" s="61">
        <v>20</v>
      </c>
    </row>
    <row r="11" spans="2:8" ht="13.5" thickBot="1"/>
    <row r="12" spans="2:8" ht="23.25" thickBot="1">
      <c r="D12" s="62" t="e">
        <f>IF(ISNA( INDEX(S002_matrice,MATCH(D7,S002_epaisseur)+1,MATCH(E7,S002_rayon)+1)),"Inapte",CONCATENATE("Vé : ",INDEX(S002_matrice,MATCH(D7,S002_epaisseur)+1,MATCH(E7,S002_rayon)+1)))</f>
        <v>#NAME?</v>
      </c>
      <c r="E12" s="63"/>
    </row>
    <row r="16" spans="2:8" ht="105.75" customHeight="1">
      <c r="B16" s="64" t="s">
        <v>55</v>
      </c>
      <c r="C16" s="64"/>
      <c r="D16" s="64"/>
      <c r="E16" s="64"/>
      <c r="F16" s="64"/>
      <c r="G16" s="64"/>
      <c r="H16" s="64"/>
    </row>
  </sheetData>
  <mergeCells count="3">
    <mergeCell ref="C3:G3"/>
    <mergeCell ref="D12:E12"/>
    <mergeCell ref="B16:H16"/>
  </mergeCells>
  <conditionalFormatting sqref="D12:E12">
    <cfRule type="cellIs" dxfId="0" priority="1" stopIfTrue="1" operator="notEqual">
      <formula>"Inapte"</formula>
    </cfRule>
    <cfRule type="cellIs" dxfId="1" priority="2" stopIfTrue="1" operator="equal">
      <formula>"Inapte"</formula>
    </cfRule>
  </conditionalFormatting>
  <dataValidations count="2">
    <dataValidation type="list" showInputMessage="1" showErrorMessage="1" sqref="D7">
      <formula1>S002_epaisseur</formula1>
    </dataValidation>
    <dataValidation type="list" showInputMessage="1" showErrorMessage="1" sqref="E7">
      <formula1>S002_rayon</formula1>
    </dataValidation>
  </dataValidations>
  <pageMargins left="0.78740157499999996" right="0.78740157499999996" top="0.984251969" bottom="0.984251969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B2:T38"/>
  <sheetViews>
    <sheetView showGridLines="0" showRowColHeaders="0" workbookViewId="0">
      <selection activeCell="Y41" sqref="Y41"/>
    </sheetView>
  </sheetViews>
  <sheetFormatPr baseColWidth="10" defaultRowHeight="12.75"/>
  <cols>
    <col min="1" max="1" width="21.7109375" style="17" customWidth="1"/>
    <col min="2" max="2" width="11.42578125" style="17"/>
    <col min="3" max="3" width="5.5703125" style="17" bestFit="1" customWidth="1"/>
    <col min="4" max="4" width="4" style="17" bestFit="1" customWidth="1"/>
    <col min="5" max="5" width="4" style="17" customWidth="1"/>
    <col min="6" max="18" width="4" style="17" bestFit="1" customWidth="1"/>
    <col min="19" max="20" width="4" style="17" customWidth="1"/>
    <col min="21" max="16384" width="11.42578125" style="17"/>
  </cols>
  <sheetData>
    <row r="2" spans="2:20" ht="15.75">
      <c r="B2" s="46" t="s">
        <v>44</v>
      </c>
    </row>
    <row r="7" spans="2:20">
      <c r="B7" s="47" t="s">
        <v>45</v>
      </c>
      <c r="C7" s="48">
        <v>2</v>
      </c>
      <c r="D7" s="48">
        <v>5</v>
      </c>
      <c r="E7" s="48">
        <v>8</v>
      </c>
      <c r="F7" s="48">
        <v>10</v>
      </c>
      <c r="G7" s="48">
        <v>15</v>
      </c>
      <c r="H7" s="48">
        <v>20</v>
      </c>
      <c r="I7" s="48">
        <v>25</v>
      </c>
      <c r="J7" s="48">
        <v>30</v>
      </c>
      <c r="K7" s="49">
        <v>35</v>
      </c>
      <c r="L7" s="49">
        <v>40</v>
      </c>
      <c r="M7" s="49">
        <v>45</v>
      </c>
      <c r="N7" s="49">
        <v>50</v>
      </c>
      <c r="O7" s="49">
        <v>60</v>
      </c>
      <c r="P7" s="49">
        <v>70</v>
      </c>
      <c r="Q7" s="49">
        <v>80</v>
      </c>
      <c r="R7" s="49">
        <v>90</v>
      </c>
      <c r="S7" s="49">
        <v>100</v>
      </c>
      <c r="T7" s="49">
        <v>150</v>
      </c>
    </row>
    <row r="8" spans="2:20">
      <c r="B8" s="48">
        <v>1</v>
      </c>
      <c r="C8" s="50">
        <v>6</v>
      </c>
      <c r="D8" s="47">
        <v>24</v>
      </c>
      <c r="E8" s="47">
        <v>24</v>
      </c>
      <c r="F8" s="47">
        <v>40</v>
      </c>
      <c r="G8" s="47">
        <v>40</v>
      </c>
      <c r="H8" s="47">
        <v>40</v>
      </c>
      <c r="I8" s="47">
        <v>60</v>
      </c>
      <c r="J8" s="47">
        <v>60</v>
      </c>
      <c r="K8" s="51">
        <v>80</v>
      </c>
      <c r="L8" s="51">
        <v>80</v>
      </c>
      <c r="M8" s="51">
        <v>80</v>
      </c>
      <c r="N8" s="51">
        <v>100</v>
      </c>
      <c r="O8" s="51">
        <v>120</v>
      </c>
      <c r="P8" s="51">
        <v>160</v>
      </c>
      <c r="Q8" s="51">
        <v>160</v>
      </c>
      <c r="R8" s="51">
        <v>180</v>
      </c>
      <c r="S8" s="51">
        <v>200</v>
      </c>
      <c r="T8" s="51">
        <v>300</v>
      </c>
    </row>
    <row r="9" spans="2:20">
      <c r="B9" s="48">
        <v>2</v>
      </c>
      <c r="C9" s="47">
        <v>12</v>
      </c>
      <c r="D9" s="50">
        <v>24</v>
      </c>
      <c r="E9" s="50">
        <v>24</v>
      </c>
      <c r="F9" s="47">
        <v>40</v>
      </c>
      <c r="G9" s="47">
        <v>40</v>
      </c>
      <c r="H9" s="47">
        <v>40</v>
      </c>
      <c r="I9" s="47">
        <v>60</v>
      </c>
      <c r="J9" s="47">
        <v>60</v>
      </c>
      <c r="K9" s="51">
        <v>80</v>
      </c>
      <c r="L9" s="51">
        <v>80</v>
      </c>
      <c r="M9" s="52">
        <v>80</v>
      </c>
      <c r="N9" s="52">
        <v>100</v>
      </c>
      <c r="O9" s="52">
        <v>120</v>
      </c>
      <c r="P9" s="51">
        <v>160</v>
      </c>
      <c r="Q9" s="51">
        <v>160</v>
      </c>
      <c r="R9" s="51">
        <v>180</v>
      </c>
      <c r="S9" s="51">
        <v>200</v>
      </c>
      <c r="T9" s="51">
        <v>300</v>
      </c>
    </row>
    <row r="10" spans="2:20">
      <c r="B10" s="48">
        <v>3</v>
      </c>
      <c r="C10" s="47">
        <v>24</v>
      </c>
      <c r="D10" s="47">
        <v>24</v>
      </c>
      <c r="E10" s="47">
        <v>24</v>
      </c>
      <c r="F10" s="47">
        <v>40</v>
      </c>
      <c r="G10" s="47">
        <v>40</v>
      </c>
      <c r="H10" s="50">
        <v>40</v>
      </c>
      <c r="I10" s="47">
        <v>60</v>
      </c>
      <c r="J10" s="47">
        <v>80</v>
      </c>
      <c r="K10" s="51">
        <v>80</v>
      </c>
      <c r="L10" s="52">
        <v>80</v>
      </c>
      <c r="M10" s="51">
        <v>100</v>
      </c>
      <c r="N10" s="51">
        <v>120</v>
      </c>
      <c r="O10" s="51">
        <v>160</v>
      </c>
      <c r="P10" s="51">
        <v>160</v>
      </c>
      <c r="Q10" s="51">
        <v>180</v>
      </c>
      <c r="R10" s="51">
        <v>180</v>
      </c>
      <c r="S10" s="51">
        <v>200</v>
      </c>
      <c r="T10" s="51">
        <v>300</v>
      </c>
    </row>
    <row r="11" spans="2:20">
      <c r="B11" s="48">
        <v>4</v>
      </c>
      <c r="C11" s="47">
        <v>24</v>
      </c>
      <c r="D11" s="47">
        <v>40</v>
      </c>
      <c r="E11" s="47">
        <v>40</v>
      </c>
      <c r="F11" s="47">
        <v>40</v>
      </c>
      <c r="G11" s="47">
        <v>40</v>
      </c>
      <c r="H11" s="47">
        <v>60</v>
      </c>
      <c r="I11" s="47">
        <v>60</v>
      </c>
      <c r="J11" s="47">
        <v>80</v>
      </c>
      <c r="K11" s="51">
        <v>80</v>
      </c>
      <c r="L11" s="51">
        <v>100</v>
      </c>
      <c r="M11" s="51">
        <v>100</v>
      </c>
      <c r="N11" s="51">
        <v>120</v>
      </c>
      <c r="O11" s="51">
        <v>160</v>
      </c>
      <c r="P11" s="51">
        <v>160</v>
      </c>
      <c r="Q11" s="51">
        <v>180</v>
      </c>
      <c r="R11" s="51">
        <v>200</v>
      </c>
      <c r="S11" s="51">
        <v>240</v>
      </c>
      <c r="T11" s="51">
        <v>300</v>
      </c>
    </row>
    <row r="12" spans="2:20">
      <c r="B12" s="48">
        <v>5</v>
      </c>
      <c r="C12" s="47">
        <v>40</v>
      </c>
      <c r="D12" s="47">
        <v>40</v>
      </c>
      <c r="E12" s="47">
        <v>40</v>
      </c>
      <c r="F12" s="47">
        <v>40</v>
      </c>
      <c r="G12" s="50">
        <v>40</v>
      </c>
      <c r="H12" s="47">
        <v>60</v>
      </c>
      <c r="I12" s="50">
        <v>60</v>
      </c>
      <c r="J12" s="47">
        <v>80</v>
      </c>
      <c r="K12" s="52">
        <v>80</v>
      </c>
      <c r="L12" s="51">
        <v>100</v>
      </c>
      <c r="M12" s="51">
        <v>100</v>
      </c>
      <c r="N12" s="51">
        <v>120</v>
      </c>
      <c r="O12" s="51">
        <v>160</v>
      </c>
      <c r="P12" s="51">
        <v>160</v>
      </c>
      <c r="Q12" s="51">
        <v>180</v>
      </c>
      <c r="R12" s="51">
        <v>200</v>
      </c>
      <c r="S12" s="51">
        <v>240</v>
      </c>
      <c r="T12" s="51">
        <v>300</v>
      </c>
    </row>
    <row r="13" spans="2:20">
      <c r="B13" s="48">
        <v>6</v>
      </c>
      <c r="C13" s="47">
        <v>40</v>
      </c>
      <c r="D13" s="47">
        <v>40</v>
      </c>
      <c r="E13" s="47">
        <v>40</v>
      </c>
      <c r="F13" s="47">
        <v>40</v>
      </c>
      <c r="G13" s="47">
        <v>60</v>
      </c>
      <c r="H13" s="47">
        <v>60</v>
      </c>
      <c r="I13" s="50">
        <v>60</v>
      </c>
      <c r="J13" s="47">
        <v>80</v>
      </c>
      <c r="K13" s="51">
        <v>100</v>
      </c>
      <c r="L13" s="51">
        <v>120</v>
      </c>
      <c r="M13" s="51">
        <v>120</v>
      </c>
      <c r="N13" s="51">
        <v>120</v>
      </c>
      <c r="O13" s="51">
        <v>160</v>
      </c>
      <c r="P13" s="51">
        <v>160</v>
      </c>
      <c r="Q13" s="51">
        <v>180</v>
      </c>
      <c r="R13" s="51">
        <v>200</v>
      </c>
      <c r="S13" s="51">
        <v>240</v>
      </c>
      <c r="T13" s="51">
        <v>300</v>
      </c>
    </row>
    <row r="14" spans="2:20">
      <c r="B14" s="48">
        <v>8</v>
      </c>
      <c r="C14" s="47">
        <v>60</v>
      </c>
      <c r="D14" s="47">
        <v>60</v>
      </c>
      <c r="E14" s="47">
        <v>60</v>
      </c>
      <c r="F14" s="47">
        <v>60</v>
      </c>
      <c r="G14" s="47">
        <v>60</v>
      </c>
      <c r="H14" s="47">
        <v>60</v>
      </c>
      <c r="I14" s="47">
        <v>80</v>
      </c>
      <c r="J14" s="50">
        <v>80</v>
      </c>
      <c r="K14" s="51">
        <v>100</v>
      </c>
      <c r="L14" s="51">
        <v>120</v>
      </c>
      <c r="M14" s="51">
        <v>120</v>
      </c>
      <c r="N14" s="52">
        <v>120</v>
      </c>
      <c r="O14" s="51">
        <v>160</v>
      </c>
      <c r="P14" s="51">
        <v>160</v>
      </c>
      <c r="Q14" s="51">
        <v>180</v>
      </c>
      <c r="R14" s="51">
        <v>200</v>
      </c>
      <c r="S14" s="51">
        <v>240</v>
      </c>
      <c r="T14" s="51">
        <v>300</v>
      </c>
    </row>
    <row r="15" spans="2:20">
      <c r="B15" s="48">
        <v>10</v>
      </c>
      <c r="C15" s="47">
        <v>80</v>
      </c>
      <c r="D15" s="47">
        <v>80</v>
      </c>
      <c r="E15" s="47">
        <v>80</v>
      </c>
      <c r="F15" s="47">
        <v>80</v>
      </c>
      <c r="G15" s="47">
        <v>80</v>
      </c>
      <c r="H15" s="47">
        <v>80</v>
      </c>
      <c r="I15" s="47">
        <v>80</v>
      </c>
      <c r="J15" s="47">
        <v>100</v>
      </c>
      <c r="K15" s="51">
        <v>100</v>
      </c>
      <c r="L15" s="51">
        <v>120</v>
      </c>
      <c r="M15" s="51">
        <v>120</v>
      </c>
      <c r="N15" s="51">
        <v>160</v>
      </c>
      <c r="O15" s="51">
        <v>160</v>
      </c>
      <c r="P15" s="51">
        <v>180</v>
      </c>
      <c r="Q15" s="51">
        <v>180</v>
      </c>
      <c r="R15" s="51">
        <v>240</v>
      </c>
      <c r="S15" s="51">
        <v>240</v>
      </c>
      <c r="T15" s="53" t="e">
        <f>NA()</f>
        <v>#N/A</v>
      </c>
    </row>
    <row r="16" spans="2:20">
      <c r="B16" s="48">
        <v>12</v>
      </c>
      <c r="C16" s="47">
        <v>80</v>
      </c>
      <c r="D16" s="47">
        <v>80</v>
      </c>
      <c r="E16" s="47">
        <v>80</v>
      </c>
      <c r="F16" s="47">
        <v>80</v>
      </c>
      <c r="G16" s="47">
        <v>80</v>
      </c>
      <c r="H16" s="47">
        <v>80</v>
      </c>
      <c r="I16" s="47">
        <v>80</v>
      </c>
      <c r="J16" s="47">
        <v>100</v>
      </c>
      <c r="K16" s="51">
        <v>120</v>
      </c>
      <c r="L16" s="51">
        <v>120</v>
      </c>
      <c r="M16" s="51">
        <v>120</v>
      </c>
      <c r="N16" s="51">
        <v>160</v>
      </c>
      <c r="O16" s="51">
        <v>160</v>
      </c>
      <c r="P16" s="51">
        <v>180</v>
      </c>
      <c r="Q16" s="51">
        <v>180</v>
      </c>
      <c r="R16" s="51">
        <v>240</v>
      </c>
      <c r="S16" s="51">
        <v>240</v>
      </c>
      <c r="T16" s="53" t="e">
        <f>NA()</f>
        <v>#N/A</v>
      </c>
    </row>
    <row r="17" spans="2:20">
      <c r="B17" s="48">
        <v>14</v>
      </c>
      <c r="C17" s="47">
        <v>100</v>
      </c>
      <c r="D17" s="47">
        <v>100</v>
      </c>
      <c r="E17" s="47">
        <v>100</v>
      </c>
      <c r="F17" s="47">
        <v>100</v>
      </c>
      <c r="G17" s="47">
        <v>100</v>
      </c>
      <c r="H17" s="47">
        <v>100</v>
      </c>
      <c r="I17" s="47">
        <v>100</v>
      </c>
      <c r="J17" s="47">
        <v>100</v>
      </c>
      <c r="K17" s="51">
        <v>120</v>
      </c>
      <c r="L17" s="52">
        <v>120</v>
      </c>
      <c r="M17" s="52">
        <v>120</v>
      </c>
      <c r="N17" s="51">
        <v>160</v>
      </c>
      <c r="O17" s="51">
        <v>180</v>
      </c>
      <c r="P17" s="51">
        <v>180</v>
      </c>
      <c r="Q17" s="51">
        <v>200</v>
      </c>
      <c r="R17" s="51">
        <v>240</v>
      </c>
      <c r="S17" s="51">
        <v>240</v>
      </c>
      <c r="T17" s="53" t="e">
        <f>NA()</f>
        <v>#N/A</v>
      </c>
    </row>
    <row r="18" spans="2:20">
      <c r="B18" s="48">
        <v>15</v>
      </c>
      <c r="C18" s="47">
        <v>120</v>
      </c>
      <c r="D18" s="47">
        <v>120</v>
      </c>
      <c r="E18" s="47">
        <v>120</v>
      </c>
      <c r="F18" s="47">
        <v>120</v>
      </c>
      <c r="G18" s="47">
        <v>120</v>
      </c>
      <c r="H18" s="47">
        <v>120</v>
      </c>
      <c r="I18" s="47">
        <v>120</v>
      </c>
      <c r="J18" s="47">
        <v>120</v>
      </c>
      <c r="K18" s="51">
        <v>120</v>
      </c>
      <c r="L18" s="51">
        <v>160</v>
      </c>
      <c r="M18" s="51">
        <v>160</v>
      </c>
      <c r="N18" s="51">
        <v>160</v>
      </c>
      <c r="O18" s="51">
        <v>180</v>
      </c>
      <c r="P18" s="51">
        <v>180</v>
      </c>
      <c r="Q18" s="51">
        <v>200</v>
      </c>
      <c r="R18" s="51">
        <v>240</v>
      </c>
      <c r="S18" s="51">
        <v>240</v>
      </c>
      <c r="T18" s="53" t="e">
        <f>NA()</f>
        <v>#N/A</v>
      </c>
    </row>
    <row r="19" spans="2:20">
      <c r="B19" s="48">
        <v>16</v>
      </c>
      <c r="C19" s="47">
        <v>120</v>
      </c>
      <c r="D19" s="47">
        <v>120</v>
      </c>
      <c r="E19" s="47">
        <v>120</v>
      </c>
      <c r="F19" s="47">
        <v>120</v>
      </c>
      <c r="G19" s="47">
        <v>120</v>
      </c>
      <c r="H19" s="47">
        <v>120</v>
      </c>
      <c r="I19" s="47">
        <v>120</v>
      </c>
      <c r="J19" s="47">
        <v>120</v>
      </c>
      <c r="K19" s="51">
        <v>120</v>
      </c>
      <c r="L19" s="51">
        <v>160</v>
      </c>
      <c r="M19" s="51">
        <v>160</v>
      </c>
      <c r="N19" s="51">
        <v>160</v>
      </c>
      <c r="O19" s="51">
        <v>180</v>
      </c>
      <c r="P19" s="51">
        <v>180</v>
      </c>
      <c r="Q19" s="51">
        <v>200</v>
      </c>
      <c r="R19" s="51">
        <v>240</v>
      </c>
      <c r="S19" s="51">
        <v>240</v>
      </c>
      <c r="T19" s="53" t="e">
        <f>NA()</f>
        <v>#N/A</v>
      </c>
    </row>
    <row r="20" spans="2:20">
      <c r="B20" s="48">
        <v>18</v>
      </c>
      <c r="C20" s="47">
        <v>160</v>
      </c>
      <c r="D20" s="47">
        <v>160</v>
      </c>
      <c r="E20" s="47">
        <v>160</v>
      </c>
      <c r="F20" s="47">
        <v>160</v>
      </c>
      <c r="G20" s="47">
        <v>160</v>
      </c>
      <c r="H20" s="47">
        <v>160</v>
      </c>
      <c r="I20" s="47">
        <v>160</v>
      </c>
      <c r="J20" s="47">
        <v>160</v>
      </c>
      <c r="K20" s="51">
        <v>160</v>
      </c>
      <c r="L20" s="51">
        <v>160</v>
      </c>
      <c r="M20" s="51">
        <v>160</v>
      </c>
      <c r="N20" s="51">
        <v>180</v>
      </c>
      <c r="O20" s="51">
        <v>180</v>
      </c>
      <c r="P20" s="51">
        <v>200</v>
      </c>
      <c r="Q20" s="51">
        <v>240</v>
      </c>
      <c r="R20" s="51">
        <v>240</v>
      </c>
      <c r="S20" s="51">
        <v>240</v>
      </c>
      <c r="T20" s="53" t="e">
        <f>NA()</f>
        <v>#N/A</v>
      </c>
    </row>
    <row r="21" spans="2:20">
      <c r="B21" s="48">
        <v>20</v>
      </c>
      <c r="C21" s="47">
        <v>160</v>
      </c>
      <c r="D21" s="47">
        <v>160</v>
      </c>
      <c r="E21" s="47">
        <v>160</v>
      </c>
      <c r="F21" s="47">
        <v>160</v>
      </c>
      <c r="G21" s="47">
        <v>160</v>
      </c>
      <c r="H21" s="47">
        <v>160</v>
      </c>
      <c r="I21" s="47">
        <v>160</v>
      </c>
      <c r="J21" s="47">
        <v>160</v>
      </c>
      <c r="K21" s="51">
        <v>160</v>
      </c>
      <c r="L21" s="51">
        <v>160</v>
      </c>
      <c r="M21" s="51">
        <v>180</v>
      </c>
      <c r="N21" s="51">
        <v>180</v>
      </c>
      <c r="O21" s="51">
        <v>180</v>
      </c>
      <c r="P21" s="51">
        <v>200</v>
      </c>
      <c r="Q21" s="51">
        <v>240</v>
      </c>
      <c r="R21" s="51">
        <v>240</v>
      </c>
      <c r="S21" s="51">
        <v>300</v>
      </c>
      <c r="T21" s="53" t="e">
        <f>NA()</f>
        <v>#N/A</v>
      </c>
    </row>
    <row r="22" spans="2:20">
      <c r="B22" s="48">
        <v>22</v>
      </c>
      <c r="C22" s="47">
        <v>160</v>
      </c>
      <c r="D22" s="47">
        <v>160</v>
      </c>
      <c r="E22" s="47">
        <v>160</v>
      </c>
      <c r="F22" s="47">
        <v>160</v>
      </c>
      <c r="G22" s="47">
        <v>160</v>
      </c>
      <c r="H22" s="47">
        <v>160</v>
      </c>
      <c r="I22" s="47">
        <v>160</v>
      </c>
      <c r="J22" s="47">
        <v>160</v>
      </c>
      <c r="K22" s="51">
        <v>160</v>
      </c>
      <c r="L22" s="51">
        <v>180</v>
      </c>
      <c r="M22" s="51">
        <v>180</v>
      </c>
      <c r="N22" s="51">
        <v>180</v>
      </c>
      <c r="O22" s="51">
        <v>200</v>
      </c>
      <c r="P22" s="51">
        <v>200</v>
      </c>
      <c r="Q22" s="51">
        <v>240</v>
      </c>
      <c r="R22" s="51">
        <v>240</v>
      </c>
      <c r="S22" s="51">
        <v>300</v>
      </c>
      <c r="T22" s="53" t="e">
        <f>NA()</f>
        <v>#N/A</v>
      </c>
    </row>
    <row r="23" spans="2:20">
      <c r="B23" s="48">
        <v>25</v>
      </c>
      <c r="C23" s="47">
        <v>180</v>
      </c>
      <c r="D23" s="47">
        <v>180</v>
      </c>
      <c r="E23" s="47">
        <v>180</v>
      </c>
      <c r="F23" s="47">
        <v>180</v>
      </c>
      <c r="G23" s="47">
        <v>180</v>
      </c>
      <c r="H23" s="47">
        <v>180</v>
      </c>
      <c r="I23" s="47">
        <v>180</v>
      </c>
      <c r="J23" s="47">
        <v>180</v>
      </c>
      <c r="K23" s="51">
        <v>180</v>
      </c>
      <c r="L23" s="51">
        <v>180</v>
      </c>
      <c r="M23" s="51">
        <v>180</v>
      </c>
      <c r="N23" s="51">
        <v>200</v>
      </c>
      <c r="O23" s="51">
        <v>200</v>
      </c>
      <c r="P23" s="51">
        <v>200</v>
      </c>
      <c r="Q23" s="52">
        <v>240</v>
      </c>
      <c r="R23" s="51">
        <v>240</v>
      </c>
      <c r="S23" s="51">
        <v>300</v>
      </c>
      <c r="T23" s="53" t="e">
        <f>NA()</f>
        <v>#N/A</v>
      </c>
    </row>
    <row r="24" spans="2:20">
      <c r="B24" s="48">
        <v>30</v>
      </c>
      <c r="C24" s="47">
        <v>240</v>
      </c>
      <c r="D24" s="47">
        <v>240</v>
      </c>
      <c r="E24" s="47">
        <v>240</v>
      </c>
      <c r="F24" s="47">
        <v>240</v>
      </c>
      <c r="G24" s="47">
        <v>240</v>
      </c>
      <c r="H24" s="47">
        <v>240</v>
      </c>
      <c r="I24" s="47">
        <v>240</v>
      </c>
      <c r="J24" s="47">
        <v>240</v>
      </c>
      <c r="K24" s="51">
        <v>240</v>
      </c>
      <c r="L24" s="51">
        <v>240</v>
      </c>
      <c r="M24" s="51">
        <v>240</v>
      </c>
      <c r="N24" s="51">
        <v>240</v>
      </c>
      <c r="O24" s="51">
        <v>240</v>
      </c>
      <c r="P24" s="51">
        <v>240</v>
      </c>
      <c r="Q24" s="51">
        <v>240</v>
      </c>
      <c r="R24" s="51">
        <v>240</v>
      </c>
      <c r="S24" s="51">
        <v>300</v>
      </c>
      <c r="T24" s="53" t="e">
        <f>NA()</f>
        <v>#N/A</v>
      </c>
    </row>
    <row r="25" spans="2:20">
      <c r="B25" s="48">
        <v>35</v>
      </c>
      <c r="C25" s="47">
        <v>240</v>
      </c>
      <c r="D25" s="47">
        <v>240</v>
      </c>
      <c r="E25" s="47">
        <v>240</v>
      </c>
      <c r="F25" s="47">
        <v>240</v>
      </c>
      <c r="G25" s="47">
        <v>240</v>
      </c>
      <c r="H25" s="47">
        <v>240</v>
      </c>
      <c r="I25" s="47">
        <v>240</v>
      </c>
      <c r="J25" s="47">
        <v>240</v>
      </c>
      <c r="K25" s="51">
        <v>240</v>
      </c>
      <c r="L25" s="51">
        <v>240</v>
      </c>
      <c r="M25" s="51">
        <v>240</v>
      </c>
      <c r="N25" s="51">
        <v>240</v>
      </c>
      <c r="O25" s="51">
        <v>240</v>
      </c>
      <c r="P25" s="51">
        <v>240</v>
      </c>
      <c r="Q25" s="51">
        <v>300</v>
      </c>
      <c r="R25" s="51">
        <v>300</v>
      </c>
      <c r="S25" s="51">
        <v>300</v>
      </c>
      <c r="T25" s="53" t="e">
        <f>NA()</f>
        <v>#N/A</v>
      </c>
    </row>
    <row r="26" spans="2:20">
      <c r="B26" s="48">
        <v>40</v>
      </c>
      <c r="C26" s="47">
        <v>300</v>
      </c>
      <c r="D26" s="47">
        <v>300</v>
      </c>
      <c r="E26" s="47">
        <v>300</v>
      </c>
      <c r="F26" s="47">
        <v>300</v>
      </c>
      <c r="G26" s="47">
        <v>300</v>
      </c>
      <c r="H26" s="47">
        <v>300</v>
      </c>
      <c r="I26" s="47">
        <v>300</v>
      </c>
      <c r="J26" s="47">
        <v>300</v>
      </c>
      <c r="K26" s="51">
        <v>300</v>
      </c>
      <c r="L26" s="51">
        <v>300</v>
      </c>
      <c r="M26" s="51">
        <v>300</v>
      </c>
      <c r="N26" s="51">
        <v>300</v>
      </c>
      <c r="O26" s="51">
        <v>300</v>
      </c>
      <c r="P26" s="51">
        <v>300</v>
      </c>
      <c r="Q26" s="51">
        <v>300</v>
      </c>
      <c r="R26" s="51">
        <v>300</v>
      </c>
      <c r="S26" s="51">
        <v>300</v>
      </c>
      <c r="T26" s="53" t="e">
        <f>NA()</f>
        <v>#N/A</v>
      </c>
    </row>
    <row r="27" spans="2:20">
      <c r="B27" s="48">
        <v>45</v>
      </c>
      <c r="C27" s="47">
        <v>300</v>
      </c>
      <c r="D27" s="47">
        <v>300</v>
      </c>
      <c r="E27" s="47">
        <v>300</v>
      </c>
      <c r="F27" s="47">
        <v>300</v>
      </c>
      <c r="G27" s="47">
        <v>300</v>
      </c>
      <c r="H27" s="47">
        <v>300</v>
      </c>
      <c r="I27" s="47">
        <v>300</v>
      </c>
      <c r="J27" s="47">
        <v>300</v>
      </c>
      <c r="K27" s="51">
        <v>300</v>
      </c>
      <c r="L27" s="51">
        <v>300</v>
      </c>
      <c r="M27" s="51">
        <v>300</v>
      </c>
      <c r="N27" s="51">
        <v>300</v>
      </c>
      <c r="O27" s="51">
        <v>300</v>
      </c>
      <c r="P27" s="51">
        <v>300</v>
      </c>
      <c r="Q27" s="51">
        <v>300</v>
      </c>
      <c r="R27" s="51">
        <v>300</v>
      </c>
      <c r="S27" s="51">
        <v>300</v>
      </c>
      <c r="T27" s="53" t="e">
        <f>NA()</f>
        <v>#N/A</v>
      </c>
    </row>
    <row r="28" spans="2:20">
      <c r="B28" s="54"/>
      <c r="C28" s="55"/>
      <c r="D28" s="55"/>
      <c r="E28" s="55"/>
      <c r="F28" s="55"/>
      <c r="G28" s="55"/>
      <c r="H28" s="55"/>
      <c r="I28" s="55"/>
      <c r="J28" s="55"/>
      <c r="K28" s="56"/>
      <c r="L28" s="56"/>
      <c r="M28" s="56"/>
      <c r="N28" s="56"/>
      <c r="O28" s="56"/>
      <c r="P28" s="56"/>
      <c r="Q28" s="56"/>
      <c r="R28" s="56"/>
      <c r="S28" s="56"/>
    </row>
    <row r="29" spans="2:20">
      <c r="B29" s="54"/>
      <c r="C29" s="55"/>
      <c r="D29" s="55"/>
      <c r="E29" s="55"/>
      <c r="F29" s="55"/>
      <c r="G29" s="55"/>
      <c r="H29" s="55"/>
      <c r="I29" s="55"/>
      <c r="J29" s="55"/>
      <c r="K29" s="56"/>
      <c r="L29" s="56"/>
      <c r="M29" s="56"/>
      <c r="N29" s="56"/>
      <c r="O29" s="56"/>
      <c r="P29" s="56"/>
      <c r="Q29" s="56"/>
      <c r="R29" s="56"/>
      <c r="S29" s="56"/>
    </row>
    <row r="31" spans="2:20">
      <c r="B31" s="57"/>
      <c r="C31" s="57" t="s">
        <v>46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</row>
    <row r="32" spans="2:20">
      <c r="B32" s="57"/>
      <c r="C32" s="57"/>
      <c r="D32" s="58" t="s">
        <v>47</v>
      </c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</row>
    <row r="34" spans="3:3">
      <c r="C34" s="39" t="s">
        <v>48</v>
      </c>
    </row>
    <row r="35" spans="3:3">
      <c r="C35" s="39" t="s">
        <v>49</v>
      </c>
    </row>
    <row r="36" spans="3:3">
      <c r="C36" s="39" t="s">
        <v>50</v>
      </c>
    </row>
    <row r="38" spans="3:3">
      <c r="C38" s="59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2]!Bouton6_Cliquer">
                <anchor moveWithCells="1" siz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0</xdr:col>
                    <xdr:colOff>1362075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2]!ChoixVé_Bouton6_Cliquer">
                <anchor moveWithCells="1" sizeWithCells="1">
                  <from>
                    <xdr:col>0</xdr:col>
                    <xdr:colOff>0</xdr:colOff>
                    <xdr:row>7</xdr:row>
                    <xdr:rowOff>19050</xdr:rowOff>
                  </from>
                  <to>
                    <xdr:col>0</xdr:col>
                    <xdr:colOff>1400175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6</vt:i4>
      </vt:variant>
    </vt:vector>
  </HeadingPairs>
  <TitlesOfParts>
    <vt:vector size="15" baseType="lpstr">
      <vt:lpstr>Accueil</vt:lpstr>
      <vt:lpstr>005_001</vt:lpstr>
      <vt:lpstr>005_002</vt:lpstr>
      <vt:lpstr>005_003</vt:lpstr>
      <vt:lpstr>006</vt:lpstr>
      <vt:lpstr>007</vt:lpstr>
      <vt:lpstr>008</vt:lpstr>
      <vt:lpstr>002_001</vt:lpstr>
      <vt:lpstr>002_002</vt:lpstr>
      <vt:lpstr>S002_epaisseur</vt:lpstr>
      <vt:lpstr>'002_002'!S002_matrice</vt:lpstr>
      <vt:lpstr>S002_rayon</vt:lpstr>
      <vt:lpstr>S005_largeur</vt:lpstr>
      <vt:lpstr>S005_longueur</vt:lpstr>
      <vt:lpstr>S005_matrice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dcterms:created xsi:type="dcterms:W3CDTF">2014-12-15T07:06:38Z</dcterms:created>
  <dcterms:modified xsi:type="dcterms:W3CDTF">2014-12-15T08:57:36Z</dcterms:modified>
</cp:coreProperties>
</file>