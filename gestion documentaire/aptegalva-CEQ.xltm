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13980" windowHeight="8070" firstSheet="3" activeTab="3"/>
  </bookViews>
  <sheets>
    <sheet name="Aptitude Galvanisation" sheetId="1" state="hidden" r:id="rId1"/>
    <sheet name="NAKAMURA" sheetId="4" state="hidden" r:id="rId2"/>
    <sheet name="Equivalent Carbone" sheetId="5" state="hidden" r:id="rId3"/>
    <sheet name="Accueil" sheetId="6" r:id="rId4"/>
  </sheets>
  <calcPr calcId="145621"/>
</workbook>
</file>

<file path=xl/calcChain.xml><?xml version="1.0" encoding="utf-8"?>
<calcChain xmlns="http://schemas.openxmlformats.org/spreadsheetml/2006/main">
  <c r="M11" i="4" l="1"/>
  <c r="C12" i="1" l="1"/>
  <c r="P15" i="1" s="1"/>
  <c r="P18" i="1" s="1"/>
  <c r="P14" i="1"/>
  <c r="R16" i="1"/>
  <c r="R14" i="1"/>
  <c r="R18" i="1" s="1"/>
  <c r="Q14" i="1"/>
  <c r="Q15" i="1" l="1"/>
  <c r="Q18" i="1" s="1"/>
  <c r="P20" i="1" s="1"/>
  <c r="D10" i="4"/>
  <c r="B13" i="4"/>
  <c r="E14" i="5"/>
  <c r="G14" i="5" s="1"/>
  <c r="E12" i="5"/>
  <c r="G12" i="5" s="1"/>
  <c r="S18" i="1" l="1"/>
  <c r="C15" i="1" l="1"/>
</calcChain>
</file>

<file path=xl/comments1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sharedStrings.xml><?xml version="1.0" encoding="utf-8"?>
<sst xmlns="http://schemas.openxmlformats.org/spreadsheetml/2006/main" count="44" uniqueCount="37">
  <si>
    <t>Si</t>
  </si>
  <si>
    <t>P</t>
  </si>
  <si>
    <t>Classe 1</t>
  </si>
  <si>
    <t>Classe 2</t>
  </si>
  <si>
    <t>Classe 3</t>
  </si>
  <si>
    <t>Si + 2.5P</t>
  </si>
  <si>
    <t>Cr</t>
  </si>
  <si>
    <t>Mo</t>
  </si>
  <si>
    <t>Va</t>
  </si>
  <si>
    <t>Cr + 3.3xMo + 8.1xVa - 2</t>
  </si>
  <si>
    <t>Coefficient de NAKAMURA</t>
  </si>
  <si>
    <t>C + Mn/6 + (Cr + Mo + V)/5 + (Cu + Ni)/15</t>
  </si>
  <si>
    <t>C</t>
  </si>
  <si>
    <t>Mn</t>
  </si>
  <si>
    <t>V</t>
  </si>
  <si>
    <t>Cu</t>
  </si>
  <si>
    <t>Ni</t>
  </si>
  <si>
    <t>C.E.Q :</t>
  </si>
  <si>
    <t>Formule courte :</t>
  </si>
  <si>
    <t>Equivalent Carbone</t>
  </si>
  <si>
    <t>Acier</t>
  </si>
  <si>
    <t>Soudabilité</t>
  </si>
  <si>
    <t>Excellent</t>
  </si>
  <si>
    <t>Très Bon</t>
  </si>
  <si>
    <t>Bon</t>
  </si>
  <si>
    <t>Juste</t>
  </si>
  <si>
    <t>Pauvre</t>
  </si>
  <si>
    <t>Aptitude Galvanisation</t>
  </si>
  <si>
    <t>Elément %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</si>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</sst>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5">
    <font>
      <sz val="10"/>
      <name val="Arial"/>
    </font>
    <font>
      <b/>
      <sz val="12"/>
      <color indexed="18"/>
      <name val="Arial"/>
      <family val="2"/>
    </font>
    <font>
      <b/>
      <sz val="10"/>
      <color indexed="48"/>
      <name val="Arial"/>
      <family val="2"/>
    </font>
    <font>
      <b/>
      <sz val="10"/>
      <color indexed="10"/>
      <name val="Arial"/>
      <family val="2"/>
    </font>
    <font>
      <sz val="22"/>
      <name val="CG Times"/>
      <family val="1"/>
    </font>
    <font>
      <b/>
      <sz val="22"/>
      <color indexed="10"/>
      <name val="CG Times"/>
      <family val="1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18"/>
      <color indexed="53"/>
      <name val="CG Times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14"/>
      <color rgb="FF000000"/>
      <name val="Arial"/>
      <family val="2"/>
    </font>
    <font>
      <b/>
      <sz val="22"/>
      <name val="CG Times"/>
      <family val="1"/>
    </font>
    <font>
      <sz val="10"/>
      <color theme="0"/>
      <name val="Arial"/>
      <family val="2"/>
    </font>
    <font>
      <sz val="16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2F2F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</borders>
  <cellStyleXfs count="4">
    <xf numFmtId="0" fontId="0" fillId="0" borderId="0"/>
    <xf numFmtId="0" fontId="11" fillId="2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7" applyNumberFormat="0" applyFill="0" applyAlignment="0" applyProtection="0"/>
  </cellStyleXfs>
  <cellXfs count="30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0" xfId="0" applyFont="1" applyBorder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right"/>
    </xf>
    <xf numFmtId="164" fontId="7" fillId="0" borderId="0" xfId="0" applyNumberFormat="1" applyFont="1"/>
    <xf numFmtId="0" fontId="8" fillId="0" borderId="0" xfId="0" applyFont="1"/>
    <xf numFmtId="0" fontId="12" fillId="2" borderId="4" xfId="1" applyFont="1" applyBorder="1" applyAlignment="1">
      <alignment horizontal="center" vertical="center"/>
    </xf>
    <xf numFmtId="0" fontId="12" fillId="2" borderId="5" xfId="1" applyFont="1" applyBorder="1" applyAlignment="1">
      <alignment horizontal="center" vertical="center"/>
    </xf>
    <xf numFmtId="0" fontId="12" fillId="2" borderId="6" xfId="1" applyFont="1" applyBorder="1" applyAlignment="1">
      <alignment horizontal="center" vertical="center"/>
    </xf>
    <xf numFmtId="0" fontId="13" fillId="0" borderId="0" xfId="0" applyFont="1"/>
    <xf numFmtId="164" fontId="17" fillId="0" borderId="8" xfId="2" applyNumberFormat="1" applyFont="1" applyBorder="1"/>
    <xf numFmtId="0" fontId="9" fillId="0" borderId="0" xfId="2" applyAlignment="1">
      <alignment horizontal="center"/>
    </xf>
    <xf numFmtId="0" fontId="18" fillId="5" borderId="11" xfId="0" applyFont="1" applyFill="1" applyBorder="1" applyAlignment="1">
      <alignment horizontal="center" vertical="center" wrapText="1"/>
    </xf>
    <xf numFmtId="0" fontId="19" fillId="4" borderId="11" xfId="0" applyFont="1" applyFill="1" applyBorder="1" applyAlignment="1">
      <alignment vertical="center" wrapText="1"/>
    </xf>
    <xf numFmtId="0" fontId="9" fillId="3" borderId="1" xfId="2" applyFill="1" applyBorder="1" applyAlignment="1" applyProtection="1">
      <alignment horizontal="center" vertical="center"/>
      <protection locked="0"/>
    </xf>
    <xf numFmtId="0" fontId="9" fillId="3" borderId="2" xfId="2" applyFill="1" applyBorder="1" applyAlignment="1" applyProtection="1">
      <alignment horizontal="center" vertical="center"/>
      <protection locked="0"/>
    </xf>
    <xf numFmtId="0" fontId="9" fillId="3" borderId="3" xfId="2" applyFill="1" applyBorder="1" applyAlignment="1" applyProtection="1">
      <alignment horizontal="center" vertical="center"/>
      <protection locked="0"/>
    </xf>
    <xf numFmtId="164" fontId="9" fillId="3" borderId="1" xfId="2" applyNumberFormat="1" applyFill="1" applyBorder="1" applyAlignment="1" applyProtection="1">
      <alignment horizontal="center" vertical="center"/>
      <protection locked="0"/>
    </xf>
    <xf numFmtId="0" fontId="23" fillId="0" borderId="0" xfId="0" applyFont="1" applyProtection="1">
      <protection hidden="1"/>
    </xf>
    <xf numFmtId="0" fontId="10" fillId="0" borderId="7" xfId="3" applyAlignment="1">
      <alignment horizontal="center"/>
    </xf>
    <xf numFmtId="164" fontId="17" fillId="0" borderId="9" xfId="2" applyNumberFormat="1" applyFont="1" applyBorder="1" applyAlignment="1">
      <alignment horizontal="center"/>
    </xf>
    <xf numFmtId="164" fontId="17" fillId="0" borderId="10" xfId="2" applyNumberFormat="1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14" fillId="2" borderId="0" xfId="1" applyFont="1" applyAlignment="1">
      <alignment horizontal="center"/>
    </xf>
    <xf numFmtId="0" fontId="0" fillId="0" borderId="0" xfId="0" applyAlignment="1">
      <alignment horizontal="center"/>
    </xf>
    <xf numFmtId="0" fontId="9" fillId="0" borderId="0" xfId="2" applyAlignment="1">
      <alignment horizontal="center"/>
    </xf>
  </cellXfs>
  <cellStyles count="4">
    <cellStyle name="Accent1" xfId="1" builtinId="29"/>
    <cellStyle name="Normal" xfId="0" builtinId="0"/>
    <cellStyle name="Titre" xfId="2" builtinId="15"/>
    <cellStyle name="Titre 1" xfId="3" builtinId="16"/>
  </cellStyles>
  <dxfs count="26"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33CC33"/>
      <color rgb="FFFFFF00"/>
      <color rgb="FF008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528447</xdr:colOff>
      <xdr:row>1</xdr:row>
      <xdr:rowOff>117729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7072" cy="3749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152400</xdr:rowOff>
        </xdr:from>
        <xdr:to>
          <xdr:col>1</xdr:col>
          <xdr:colOff>1047750</xdr:colOff>
          <xdr:row>4</xdr:row>
          <xdr:rowOff>95250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57150</xdr:rowOff>
        </xdr:from>
        <xdr:to>
          <xdr:col>1</xdr:col>
          <xdr:colOff>1028700</xdr:colOff>
          <xdr:row>6</xdr:row>
          <xdr:rowOff>133350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957072</xdr:colOff>
      <xdr:row>1</xdr:row>
      <xdr:rowOff>60579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7072" cy="3749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114300</xdr:rowOff>
        </xdr:from>
        <xdr:to>
          <xdr:col>1</xdr:col>
          <xdr:colOff>314325</xdr:colOff>
          <xdr:row>2</xdr:row>
          <xdr:rowOff>238125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95250</xdr:rowOff>
        </xdr:from>
        <xdr:to>
          <xdr:col>1</xdr:col>
          <xdr:colOff>295275</xdr:colOff>
          <xdr:row>4</xdr:row>
          <xdr:rowOff>104775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957072</xdr:colOff>
      <xdr:row>1</xdr:row>
      <xdr:rowOff>212979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7072" cy="3749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276225</xdr:rowOff>
        </xdr:from>
        <xdr:to>
          <xdr:col>1</xdr:col>
          <xdr:colOff>400050</xdr:colOff>
          <xdr:row>3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333375</xdr:rowOff>
        </xdr:from>
        <xdr:to>
          <xdr:col>1</xdr:col>
          <xdr:colOff>381000</xdr:colOff>
          <xdr:row>4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195072</xdr:colOff>
      <xdr:row>2</xdr:row>
      <xdr:rowOff>51054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7072" cy="3749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3</xdr:row>
          <xdr:rowOff>85725</xdr:rowOff>
        </xdr:from>
        <xdr:to>
          <xdr:col>4</xdr:col>
          <xdr:colOff>695325</xdr:colOff>
          <xdr:row>7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7</xdr:row>
          <xdr:rowOff>133350</xdr:rowOff>
        </xdr:from>
        <xdr:to>
          <xdr:col>4</xdr:col>
          <xdr:colOff>676275</xdr:colOff>
          <xdr:row>11</xdr:row>
          <xdr:rowOff>66675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Coéfficient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12</xdr:row>
          <xdr:rowOff>85725</xdr:rowOff>
        </xdr:from>
        <xdr:to>
          <xdr:col>4</xdr:col>
          <xdr:colOff>666750</xdr:colOff>
          <xdr:row>16</xdr:row>
          <xdr:rowOff>19050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47625</xdr:rowOff>
        </xdr:from>
        <xdr:to>
          <xdr:col>4</xdr:col>
          <xdr:colOff>647700</xdr:colOff>
          <xdr:row>20</xdr:row>
          <xdr:rowOff>142875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C1:S20"/>
  <sheetViews>
    <sheetView showGridLines="0" showRowColHeaders="0" workbookViewId="0"/>
  </sheetViews>
  <sheetFormatPr baseColWidth="10" defaultRowHeight="12.75"/>
  <cols>
    <col min="1" max="1" width="6.42578125" customWidth="1"/>
    <col min="2" max="2" width="26.42578125" customWidth="1"/>
    <col min="4" max="4" width="10.7109375" customWidth="1"/>
    <col min="5" max="5" width="10.85546875" bestFit="1" customWidth="1"/>
    <col min="6" max="6" width="10.140625" customWidth="1"/>
    <col min="7" max="7" width="10.85546875" bestFit="1" customWidth="1"/>
    <col min="8" max="9" width="15.7109375" customWidth="1"/>
    <col min="10" max="10" width="15.5703125" bestFit="1" customWidth="1"/>
    <col min="15" max="15" width="0" hidden="1" customWidth="1"/>
    <col min="16" max="16" width="13.140625" hidden="1" customWidth="1"/>
    <col min="17" max="17" width="14" hidden="1" customWidth="1"/>
    <col min="18" max="18" width="16.85546875" hidden="1" customWidth="1"/>
    <col min="19" max="19" width="0" hidden="1" customWidth="1"/>
  </cols>
  <sheetData>
    <row r="1" spans="3:18" ht="20.25" thickBot="1">
      <c r="C1" s="22" t="s">
        <v>27</v>
      </c>
      <c r="D1" s="22"/>
      <c r="E1" s="22"/>
      <c r="F1" s="22"/>
      <c r="G1" s="22"/>
    </row>
    <row r="2" spans="3:18" ht="13.5" thickTop="1"/>
    <row r="6" spans="3:18" ht="23.25">
      <c r="C6" s="8" t="s">
        <v>5</v>
      </c>
    </row>
    <row r="7" spans="3:18" ht="13.5" thickBot="1"/>
    <row r="8" spans="3:18" ht="25.5" customHeight="1">
      <c r="C8" s="9" t="s">
        <v>0</v>
      </c>
      <c r="D8" s="9" t="s">
        <v>1</v>
      </c>
    </row>
    <row r="9" spans="3:18" ht="26.25" customHeight="1" thickBot="1">
      <c r="C9" s="20">
        <v>3.5000000000000003E-2</v>
      </c>
      <c r="D9" s="20">
        <v>5.0000000000000001E-3</v>
      </c>
    </row>
    <row r="10" spans="3:18" ht="24" customHeight="1"/>
    <row r="11" spans="3:18" ht="15.75" customHeight="1" thickBot="1"/>
    <row r="12" spans="3:18" ht="30.75" thickBot="1">
      <c r="C12" s="23">
        <f>C9+(2.5*D9)</f>
        <v>4.7500000000000001E-2</v>
      </c>
      <c r="D12" s="24"/>
      <c r="F12" s="15" t="s">
        <v>28</v>
      </c>
      <c r="G12" s="15" t="s">
        <v>2</v>
      </c>
      <c r="H12" s="15" t="s">
        <v>3</v>
      </c>
      <c r="I12" s="15" t="s">
        <v>4</v>
      </c>
    </row>
    <row r="13" spans="3:18" ht="15.75" thickBot="1">
      <c r="F13" s="16" t="s">
        <v>0</v>
      </c>
      <c r="G13" s="16" t="s">
        <v>29</v>
      </c>
      <c r="H13" s="16" t="s">
        <v>30</v>
      </c>
      <c r="I13" s="16" t="s">
        <v>31</v>
      </c>
    </row>
    <row r="14" spans="3:18" ht="15.75" thickBot="1">
      <c r="F14" s="16" t="s">
        <v>32</v>
      </c>
      <c r="G14" s="16" t="s">
        <v>33</v>
      </c>
      <c r="H14" s="16" t="s">
        <v>34</v>
      </c>
      <c r="I14" s="16" t="s">
        <v>35</v>
      </c>
      <c r="P14" t="b">
        <f>C9&lt;=0.03</f>
        <v>0</v>
      </c>
      <c r="Q14" t="b">
        <f>C9&lt;=0.04</f>
        <v>1</v>
      </c>
      <c r="R14" t="b">
        <f>AND(C9&gt;=0.14,C9&lt;=0.25)</f>
        <v>0</v>
      </c>
    </row>
    <row r="15" spans="3:18" ht="18.75" thickBot="1">
      <c r="C15" s="25" t="str">
        <f>IF(S18,"Matière inapte",CONCATENATE(P20," Ok"))</f>
        <v>Classe 2 Ok</v>
      </c>
      <c r="D15" s="25"/>
      <c r="F15" s="16" t="s">
        <v>1</v>
      </c>
      <c r="G15" s="16" t="s">
        <v>35</v>
      </c>
      <c r="H15" s="16" t="s">
        <v>35</v>
      </c>
      <c r="I15" s="16" t="s">
        <v>36</v>
      </c>
      <c r="P15" t="b">
        <f>C12&lt;=0.09</f>
        <v>1</v>
      </c>
      <c r="Q15" t="b">
        <f>C12&lt;=0.11</f>
        <v>1</v>
      </c>
    </row>
    <row r="16" spans="3:18" ht="30.75" customHeight="1">
      <c r="R16" t="b">
        <f>D9&lt;=0.035</f>
        <v>1</v>
      </c>
    </row>
    <row r="17" spans="16:19" ht="27.75" customHeight="1"/>
    <row r="18" spans="16:19">
      <c r="P18" t="b">
        <f>AND(P14,P15)</f>
        <v>0</v>
      </c>
      <c r="Q18" t="b">
        <f>AND(Q14,Q15)</f>
        <v>1</v>
      </c>
      <c r="R18" t="b">
        <f>AND(R14,R16)</f>
        <v>0</v>
      </c>
      <c r="S18" t="b">
        <f>AND(NOT(P18),NOT(Q18),NOT(R18))</f>
        <v>0</v>
      </c>
    </row>
    <row r="20" spans="16:19">
      <c r="P20" t="str">
        <f>IF(P18,G12,IF(Q18,H12,IF(R18,I12,"Inapte")))</f>
        <v>Classe 2</v>
      </c>
    </row>
  </sheetData>
  <sheetProtection sheet="1" objects="1" scenarios="1"/>
  <mergeCells count="3">
    <mergeCell ref="C1:G1"/>
    <mergeCell ref="C12:D12"/>
    <mergeCell ref="C15:D15"/>
  </mergeCells>
  <phoneticPr fontId="0" type="noConversion"/>
  <conditionalFormatting sqref="G13">
    <cfRule type="expression" dxfId="25" priority="13">
      <formula>$P$14</formula>
    </cfRule>
    <cfRule type="expression" dxfId="24" priority="14">
      <formula>NOT($P$14)</formula>
    </cfRule>
  </conditionalFormatting>
  <conditionalFormatting sqref="H13">
    <cfRule type="expression" dxfId="23" priority="11">
      <formula>$Q$14</formula>
    </cfRule>
    <cfRule type="expression" dxfId="22" priority="12">
      <formula>NOT($Q$14)</formula>
    </cfRule>
  </conditionalFormatting>
  <conditionalFormatting sqref="I13">
    <cfRule type="expression" dxfId="21" priority="9">
      <formula>$R$14</formula>
    </cfRule>
    <cfRule type="expression" dxfId="20" priority="10">
      <formula>NOT($R$14)</formula>
    </cfRule>
  </conditionalFormatting>
  <conditionalFormatting sqref="I15">
    <cfRule type="expression" dxfId="19" priority="7">
      <formula>$R$16</formula>
    </cfRule>
    <cfRule type="expression" dxfId="18" priority="8">
      <formula>NOT($R$14)</formula>
    </cfRule>
  </conditionalFormatting>
  <conditionalFormatting sqref="H14">
    <cfRule type="expression" dxfId="17" priority="5">
      <formula>$Q$15</formula>
    </cfRule>
    <cfRule type="expression" dxfId="16" priority="6">
      <formula>NOT($Q$15)</formula>
    </cfRule>
  </conditionalFormatting>
  <conditionalFormatting sqref="G14">
    <cfRule type="expression" dxfId="15" priority="3">
      <formula>$P$15</formula>
    </cfRule>
    <cfRule type="expression" dxfId="14" priority="4">
      <formula>NOT($P$15)</formula>
    </cfRule>
  </conditionalFormatting>
  <conditionalFormatting sqref="C15:D15">
    <cfRule type="expression" dxfId="13" priority="1">
      <formula>NOT($S$18)</formula>
    </cfRule>
    <cfRule type="expression" dxfId="12" priority="2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Bouton4_Cliquer">
                <anchor moveWithCells="1" sizeWithCells="1">
                  <from>
                    <xdr:col>0</xdr:col>
                    <xdr:colOff>0</xdr:colOff>
                    <xdr:row>1</xdr:row>
                    <xdr:rowOff>152400</xdr:rowOff>
                  </from>
                  <to>
                    <xdr:col>1</xdr:col>
                    <xdr:colOff>1047750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Accueil_Bouton5_Cliquer">
                <anchor moveWithCells="1" sizeWithCells="1">
                  <from>
                    <xdr:col>0</xdr:col>
                    <xdr:colOff>0</xdr:colOff>
                    <xdr:row>5</xdr:row>
                    <xdr:rowOff>57150</xdr:rowOff>
                  </from>
                  <to>
                    <xdr:col>1</xdr:col>
                    <xdr:colOff>1028700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M17"/>
  <sheetViews>
    <sheetView showGridLines="0" showRowColHeaders="0" workbookViewId="0"/>
  </sheetViews>
  <sheetFormatPr baseColWidth="10" defaultRowHeight="12.75"/>
  <cols>
    <col min="1" max="1" width="17.42578125" customWidth="1"/>
    <col min="2" max="2" width="11.42578125" customWidth="1"/>
    <col min="4" max="9" width="11.42578125" customWidth="1"/>
  </cols>
  <sheetData>
    <row r="1" spans="2:13" ht="24.75" customHeight="1" thickBot="1">
      <c r="B1" s="22" t="s">
        <v>10</v>
      </c>
      <c r="C1" s="22"/>
      <c r="D1" s="22"/>
      <c r="E1" s="22"/>
      <c r="F1" s="22"/>
    </row>
    <row r="2" spans="2:13" ht="24.75" customHeight="1" thickTop="1">
      <c r="C2" s="14"/>
      <c r="D2" s="14"/>
      <c r="E2" s="14"/>
      <c r="F2" s="14"/>
    </row>
    <row r="3" spans="2:13" ht="24.75" customHeight="1">
      <c r="C3" s="8" t="s">
        <v>9</v>
      </c>
      <c r="D3" s="14"/>
      <c r="E3" s="14"/>
      <c r="F3" s="14"/>
    </row>
    <row r="4" spans="2:13" ht="28.5" customHeight="1" thickBot="1"/>
    <row r="5" spans="2:13" ht="26.25">
      <c r="C5" s="9" t="s">
        <v>6</v>
      </c>
      <c r="D5" s="9" t="s">
        <v>7</v>
      </c>
      <c r="E5" s="9" t="s">
        <v>8</v>
      </c>
    </row>
    <row r="6" spans="2:13" ht="23.25" thickBot="1">
      <c r="C6" s="17">
        <v>0.75800000000000001</v>
      </c>
      <c r="D6" s="17">
        <v>0.36099999999999999</v>
      </c>
      <c r="E6" s="17">
        <v>0</v>
      </c>
    </row>
    <row r="7" spans="2:13" ht="15.75">
      <c r="D7" s="3"/>
    </row>
    <row r="8" spans="2:13" ht="25.5" customHeight="1"/>
    <row r="9" spans="2:13" ht="19.5" customHeight="1" thickBot="1">
      <c r="C9" s="8"/>
      <c r="D9" s="8"/>
    </row>
    <row r="10" spans="2:13" ht="27" customHeight="1" thickBot="1">
      <c r="D10" s="13">
        <f>C6+(3.3*D6)+(8.1*E6)-2</f>
        <v>-5.0700000000000189E-2</v>
      </c>
    </row>
    <row r="11" spans="2:13">
      <c r="M11" s="21" t="b">
        <f>D10&lt;0</f>
        <v>1</v>
      </c>
    </row>
    <row r="12" spans="2:13" ht="30" customHeight="1">
      <c r="I12" s="1"/>
    </row>
    <row r="13" spans="2:13" s="4" customFormat="1" ht="27.75">
      <c r="B13" s="26" t="str">
        <f>IF(D10&lt;0,"Nakamura OK","Nakamura NON acceptable")</f>
        <v>Nakamura OK</v>
      </c>
      <c r="C13" s="26"/>
      <c r="D13" s="26"/>
      <c r="E13" s="26"/>
      <c r="F13" s="26"/>
    </row>
    <row r="14" spans="2:13" s="4" customFormat="1" ht="27.75">
      <c r="C14" s="5"/>
    </row>
    <row r="15" spans="2:13">
      <c r="F15" s="2"/>
    </row>
    <row r="17" ht="30.75" customHeight="1"/>
  </sheetData>
  <sheetProtection sheet="1" objects="1" scenarios="1"/>
  <mergeCells count="2">
    <mergeCell ref="B1:F1"/>
    <mergeCell ref="B13:F13"/>
  </mergeCells>
  <phoneticPr fontId="0" type="noConversion"/>
  <conditionalFormatting sqref="B13">
    <cfRule type="expression" dxfId="11" priority="1" stopIfTrue="1">
      <formula>NOT($M$11)</formula>
    </cfRule>
    <cfRule type="expression" dxfId="10" priority="2" stopIfTrue="1">
      <formula>$M$11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Bouton4_Cliquer">
                <anchor moveWithCells="1" sizeWithCells="1">
                  <from>
                    <xdr:col>0</xdr:col>
                    <xdr:colOff>0</xdr:colOff>
                    <xdr:row>1</xdr:row>
                    <xdr:rowOff>114300</xdr:rowOff>
                  </from>
                  <to>
                    <xdr:col>1</xdr:col>
                    <xdr:colOff>314325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Accueil_Bouton5_Cliquer">
                <anchor moveWithCells="1" sizeWithCells="1">
                  <from>
                    <xdr:col>0</xdr:col>
                    <xdr:colOff>0</xdr:colOff>
                    <xdr:row>3</xdr:row>
                    <xdr:rowOff>95250</xdr:rowOff>
                  </from>
                  <to>
                    <xdr:col>1</xdr:col>
                    <xdr:colOff>295275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B2:P23"/>
  <sheetViews>
    <sheetView showGridLines="0" showRowColHeaders="0" workbookViewId="0"/>
  </sheetViews>
  <sheetFormatPr baseColWidth="10" defaultRowHeight="12.75"/>
  <cols>
    <col min="1" max="1" width="16.140625" customWidth="1"/>
    <col min="5" max="5" width="16.28515625" bestFit="1" customWidth="1"/>
    <col min="15" max="16" width="0" hidden="1" customWidth="1"/>
  </cols>
  <sheetData>
    <row r="2" spans="2:16" ht="22.5">
      <c r="D2" s="29" t="s">
        <v>19</v>
      </c>
      <c r="E2" s="29"/>
      <c r="F2" s="29"/>
      <c r="G2" s="29"/>
    </row>
    <row r="3" spans="2:16" ht="20.25" thickBot="1">
      <c r="D3" s="22" t="s">
        <v>20</v>
      </c>
      <c r="E3" s="22"/>
      <c r="F3" s="22"/>
      <c r="G3" s="22"/>
    </row>
    <row r="4" spans="2:16" ht="54.75" customHeight="1" thickTop="1">
      <c r="C4" s="8" t="s">
        <v>11</v>
      </c>
    </row>
    <row r="7" spans="2:16" ht="13.5" thickBot="1"/>
    <row r="8" spans="2:16" ht="26.25">
      <c r="B8" s="9" t="s">
        <v>12</v>
      </c>
      <c r="C8" s="10" t="s">
        <v>13</v>
      </c>
      <c r="D8" s="10" t="s">
        <v>6</v>
      </c>
      <c r="E8" s="10" t="s">
        <v>7</v>
      </c>
      <c r="F8" s="10" t="s">
        <v>14</v>
      </c>
      <c r="G8" s="10" t="s">
        <v>15</v>
      </c>
      <c r="H8" s="11" t="s">
        <v>16</v>
      </c>
      <c r="O8" s="12" t="s">
        <v>21</v>
      </c>
    </row>
    <row r="9" spans="2:16" ht="25.5" customHeight="1" thickBot="1">
      <c r="B9" s="17">
        <v>0.157</v>
      </c>
      <c r="C9" s="18">
        <v>1.125</v>
      </c>
      <c r="D9" s="18">
        <v>1.9E-2</v>
      </c>
      <c r="E9" s="18">
        <v>1E-3</v>
      </c>
      <c r="F9" s="18">
        <v>2E-3</v>
      </c>
      <c r="G9" s="18">
        <v>1.9E-2</v>
      </c>
      <c r="H9" s="19">
        <v>0.01</v>
      </c>
      <c r="O9">
        <v>0</v>
      </c>
      <c r="P9" s="12" t="s">
        <v>22</v>
      </c>
    </row>
    <row r="10" spans="2:16">
      <c r="O10">
        <v>0.35</v>
      </c>
      <c r="P10" s="12" t="s">
        <v>23</v>
      </c>
    </row>
    <row r="11" spans="2:16" ht="24" thickBot="1">
      <c r="G11" s="27" t="s">
        <v>21</v>
      </c>
      <c r="H11" s="27"/>
      <c r="O11">
        <v>0.4</v>
      </c>
      <c r="P11" s="12" t="s">
        <v>24</v>
      </c>
    </row>
    <row r="12" spans="2:16" ht="26.25" thickBot="1">
      <c r="D12" s="6" t="s">
        <v>17</v>
      </c>
      <c r="E12" s="13">
        <f>B9+(C9/6)+((D9+E9+F9)/5)+((G9+H9)/15)</f>
        <v>0.35083333333333339</v>
      </c>
      <c r="G12" s="28" t="str">
        <f>VLOOKUP(E12,O9:P13,2)</f>
        <v>Très Bon</v>
      </c>
      <c r="H12" s="28"/>
      <c r="O12">
        <v>0.45</v>
      </c>
      <c r="P12" s="12" t="s">
        <v>25</v>
      </c>
    </row>
    <row r="13" spans="2:16" ht="26.25" thickBot="1">
      <c r="D13" s="6"/>
      <c r="E13" s="7"/>
      <c r="O13">
        <v>0.5</v>
      </c>
      <c r="P13" s="12" t="s">
        <v>26</v>
      </c>
    </row>
    <row r="14" spans="2:16" ht="26.25" thickBot="1">
      <c r="D14" s="6" t="s">
        <v>18</v>
      </c>
      <c r="E14" s="13">
        <f>B9+(C9/6)</f>
        <v>0.34450000000000003</v>
      </c>
      <c r="G14" s="28" t="str">
        <f>VLOOKUP(E14,O9:P13,2)</f>
        <v>Excellent</v>
      </c>
      <c r="H14" s="28"/>
    </row>
    <row r="23" ht="8.25" customHeight="1"/>
  </sheetData>
  <sheetProtection sheet="1" objects="1" scenarios="1"/>
  <mergeCells count="5">
    <mergeCell ref="G11:H11"/>
    <mergeCell ref="G12:H12"/>
    <mergeCell ref="G14:H14"/>
    <mergeCell ref="D2:G2"/>
    <mergeCell ref="D3:G3"/>
  </mergeCells>
  <phoneticPr fontId="0" type="noConversion"/>
  <conditionalFormatting sqref="G12:H12">
    <cfRule type="cellIs" dxfId="9" priority="6" stopIfTrue="1" operator="equal">
      <formula>$P$13</formula>
    </cfRule>
    <cfRule type="cellIs" dxfId="8" priority="7" stopIfTrue="1" operator="equal">
      <formula>$P$12</formula>
    </cfRule>
    <cfRule type="cellIs" dxfId="7" priority="8" stopIfTrue="1" operator="equal">
      <formula>$P$11</formula>
    </cfRule>
    <cfRule type="cellIs" dxfId="6" priority="9" stopIfTrue="1" operator="equal">
      <formula>$P$10</formula>
    </cfRule>
    <cfRule type="cellIs" dxfId="5" priority="10" stopIfTrue="1" operator="equal">
      <formula>$P$9</formula>
    </cfRule>
  </conditionalFormatting>
  <conditionalFormatting sqref="G14:H14">
    <cfRule type="cellIs" dxfId="4" priority="1" stopIfTrue="1" operator="equal">
      <formula>$P$13</formula>
    </cfRule>
    <cfRule type="cellIs" dxfId="3" priority="2" stopIfTrue="1" operator="equal">
      <formula>$P$12</formula>
    </cfRule>
    <cfRule type="cellIs" dxfId="2" priority="3" stopIfTrue="1" operator="equal">
      <formula>$P$11</formula>
    </cfRule>
    <cfRule type="cellIs" dxfId="1" priority="4" stopIfTrue="1" operator="equal">
      <formula>$P$10</formula>
    </cfRule>
    <cfRule type="cellIs" dxfId="0" priority="5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Bouton4_Cliquer">
                <anchor moveWithCells="1" sizeWithCells="1">
                  <from>
                    <xdr:col>0</xdr:col>
                    <xdr:colOff>0</xdr:colOff>
                    <xdr:row>1</xdr:row>
                    <xdr:rowOff>276225</xdr:rowOff>
                  </from>
                  <to>
                    <xdr:col>1</xdr:col>
                    <xdr:colOff>400050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Accueil_Bouton5_Cliquer">
                <anchor moveWithCells="1" sizeWithCells="1">
                  <from>
                    <xdr:col>0</xdr:col>
                    <xdr:colOff>0</xdr:colOff>
                    <xdr:row>3</xdr:row>
                    <xdr:rowOff>333375</xdr:rowOff>
                  </from>
                  <to>
                    <xdr:col>1</xdr:col>
                    <xdr:colOff>381000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"/>
  <sheetViews>
    <sheetView showGridLines="0" showRowColHeaders="0" tabSelected="1" workbookViewId="0"/>
  </sheetViews>
  <sheetFormatPr baseColWidth="10" defaultRowHeight="12.75"/>
  <sheetData/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outon1_Cliquer">
                <anchor moveWithCells="1" sizeWithCells="1">
                  <from>
                    <xdr:col>1</xdr:col>
                    <xdr:colOff>685800</xdr:colOff>
                    <xdr:row>3</xdr:row>
                    <xdr:rowOff>85725</xdr:rowOff>
                  </from>
                  <to>
                    <xdr:col>4</xdr:col>
                    <xdr:colOff>695325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outon2_Cliquer">
                <anchor moveWithCells="1" sizeWithCells="1">
                  <from>
                    <xdr:col>1</xdr:col>
                    <xdr:colOff>666750</xdr:colOff>
                    <xdr:row>7</xdr:row>
                    <xdr:rowOff>133350</xdr:rowOff>
                  </from>
                  <to>
                    <xdr:col>4</xdr:col>
                    <xdr:colOff>676275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Bouton3_Cliquer">
                <anchor moveWithCells="1" sizeWithCells="1">
                  <from>
                    <xdr:col>1</xdr:col>
                    <xdr:colOff>657225</xdr:colOff>
                    <xdr:row>12</xdr:row>
                    <xdr:rowOff>85725</xdr:rowOff>
                  </from>
                  <to>
                    <xdr:col>4</xdr:col>
                    <xdr:colOff>666750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Accueil_Bouton5_Cliquer">
                <anchor moveWithCells="1" sizeWithCells="1">
                  <from>
                    <xdr:col>1</xdr:col>
                    <xdr:colOff>666750</xdr:colOff>
                    <xdr:row>17</xdr:row>
                    <xdr:rowOff>47625</xdr:rowOff>
                  </from>
                  <to>
                    <xdr:col>4</xdr:col>
                    <xdr:colOff>647700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Aptitude Galvanisation</vt:lpstr>
      <vt:lpstr>NAKAMURA</vt:lpstr>
      <vt:lpstr>Equivalent Carbone</vt:lpstr>
      <vt:lpstr>Accueil</vt:lpstr>
    </vt:vector>
  </TitlesOfParts>
  <Company>DO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</dc:creator>
  <cp:lastModifiedBy>Jean-Christophe Ambert</cp:lastModifiedBy>
  <cp:lastPrinted>2007-07-20T06:21:38Z</cp:lastPrinted>
  <dcterms:created xsi:type="dcterms:W3CDTF">2004-07-01T13:49:13Z</dcterms:created>
  <dcterms:modified xsi:type="dcterms:W3CDTF">2014-12-12T12:50:35Z</dcterms:modified>
</cp:coreProperties>
</file>