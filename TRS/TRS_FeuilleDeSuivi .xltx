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refreshAllConnections="1" defaultThemeVersion="124226"/>
  <bookViews>
    <workbookView xWindow="240" yWindow="105" windowWidth="24780" windowHeight="12150"/>
  </bookViews>
  <sheets>
    <sheet name="Feuille suivi" sheetId="1" r:id="rId1"/>
    <sheet name="Données" sheetId="2" state="hidden" r:id="rId2"/>
  </sheets>
  <definedNames>
    <definedName name="groupe_machine">Tableau_GroupeMachine[GroupeMachine]</definedName>
    <definedName name="Machine">Tableau_Machine[Nom]</definedName>
    <definedName name="MachineExt">Données!$A$2:$E$8</definedName>
    <definedName name="Metalhom.accdb" localSheetId="1" hidden="1">Données!$J$2:$K$4</definedName>
    <definedName name="Metalhom.accdb_1" localSheetId="1" hidden="1">Données!$G$2:$H$6</definedName>
    <definedName name="periode">'Feuille suivi'!$AA$4:$AA$6</definedName>
    <definedName name="PeriodeExt">'Feuille suivi'!$AA$4:$AB$6</definedName>
    <definedName name="_xlnm.Print_Area" localSheetId="0">'Feuille suivi'!$A$1:$N$99</definedName>
  </definedNames>
  <calcPr calcId="145621"/>
</workbook>
</file>

<file path=xl/calcChain.xml><?xml version="1.0" encoding="utf-8"?>
<calcChain xmlns="http://schemas.openxmlformats.org/spreadsheetml/2006/main">
  <c r="A99" i="1" l="1"/>
  <c r="A87" i="1"/>
  <c r="A75" i="1"/>
  <c r="A63" i="1"/>
  <c r="A51" i="1"/>
  <c r="A39" i="1"/>
  <c r="A27" i="1"/>
  <c r="A15" i="1"/>
  <c r="A3" i="1"/>
</calcChain>
</file>

<file path=xl/connections.xml><?xml version="1.0" encoding="utf-8"?>
<connections xmlns="http://schemas.openxmlformats.org/spreadsheetml/2006/main">
  <connection id="1" keepAlive="1" name="Metalhom3" type="5" refreshedVersion="4" deleted="1" background="1" saveData="1">
    <dbPr connection="" command="" commandType="3"/>
  </connection>
  <connection id="2" keepAlive="1" name="Metalhom4" type="5" refreshedVersion="4" deleted="1" background="1" saveData="1">
    <dbPr connection="" command="" commandType="3"/>
  </connection>
</connections>
</file>

<file path=xl/sharedStrings.xml><?xml version="1.0" encoding="utf-8"?>
<sst xmlns="http://schemas.openxmlformats.org/spreadsheetml/2006/main" count="38" uniqueCount="32">
  <si>
    <t>Machine</t>
  </si>
  <si>
    <t>Orion 1</t>
  </si>
  <si>
    <t>Nom :</t>
  </si>
  <si>
    <t>Date :</t>
  </si>
  <si>
    <t>Matin</t>
  </si>
  <si>
    <t>Reglage</t>
  </si>
  <si>
    <t>Pause</t>
  </si>
  <si>
    <t>Panne</t>
  </si>
  <si>
    <t>Nettoyage</t>
  </si>
  <si>
    <t>Mis e en route</t>
  </si>
  <si>
    <t>Maintance</t>
  </si>
  <si>
    <t>Autre</t>
  </si>
  <si>
    <t>N° Programme</t>
  </si>
  <si>
    <t>Tps Théo</t>
  </si>
  <si>
    <t>Observations</t>
  </si>
  <si>
    <t>Après-midi</t>
  </si>
  <si>
    <t>Nuit</t>
  </si>
  <si>
    <t>Groupe</t>
  </si>
  <si>
    <t>Mise en route</t>
  </si>
  <si>
    <t>Temps Changement serie</t>
  </si>
  <si>
    <t>Temps Changement buse</t>
  </si>
  <si>
    <t>Laser Orion</t>
  </si>
  <si>
    <t>Orion 2</t>
  </si>
  <si>
    <t>Orion</t>
  </si>
  <si>
    <t>Découpe</t>
  </si>
  <si>
    <t>Laser Esab</t>
  </si>
  <si>
    <t>Plasma Esab</t>
  </si>
  <si>
    <t>Plieuse 1</t>
  </si>
  <si>
    <t>Oxy Esab</t>
  </si>
  <si>
    <t>Plieuse 1 LVD</t>
  </si>
  <si>
    <t>Plieuse LVD</t>
  </si>
  <si>
    <t>Plieuse 2 LVD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</si>
</sst>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&quot; H&quot;"/>
  </numFmts>
  <fonts count="4" x14ac:knownFonts="1">
    <font>
      <sz val="11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6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ashDot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ashDot">
        <color indexed="64"/>
      </bottom>
      <diagonal/>
    </border>
    <border>
      <left style="thin">
        <color indexed="64"/>
      </left>
      <right/>
      <top style="dotted">
        <color indexed="64"/>
      </top>
      <bottom style="dashDot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ashDot">
        <color indexed="64"/>
      </bottom>
      <diagonal/>
    </border>
    <border>
      <left style="medium">
        <color indexed="64"/>
      </left>
      <right/>
      <top style="dashed">
        <color indexed="64"/>
      </top>
      <bottom style="dashDot">
        <color indexed="64"/>
      </bottom>
      <diagonal/>
    </border>
    <border>
      <left/>
      <right style="medium">
        <color indexed="64"/>
      </right>
      <top style="dashed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Dot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dashed">
        <color indexed="64"/>
      </bottom>
      <diagonal/>
    </border>
    <border>
      <left style="medium">
        <color indexed="64"/>
      </left>
      <right/>
      <top style="dashDot">
        <color indexed="64"/>
      </top>
      <bottom style="dashed">
        <color indexed="64"/>
      </bottom>
      <diagonal/>
    </border>
    <border>
      <left/>
      <right style="medium">
        <color indexed="64"/>
      </right>
      <top style="dashDot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Protection="1">
      <protection locked="0"/>
    </xf>
    <xf numFmtId="0" fontId="2" fillId="0" borderId="2" xfId="0" applyFont="1" applyBorder="1" applyAlignment="1">
      <alignment horizontal="center" textRotation="90"/>
    </xf>
    <xf numFmtId="0" fontId="2" fillId="0" borderId="3" xfId="0" applyFont="1" applyBorder="1" applyAlignment="1">
      <alignment horizontal="center" textRotation="90"/>
    </xf>
    <xf numFmtId="0" fontId="2" fillId="0" borderId="4" xfId="0" applyFont="1" applyBorder="1" applyAlignment="1">
      <alignment horizontal="center" textRotation="90"/>
    </xf>
    <xf numFmtId="0" fontId="2" fillId="0" borderId="5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7" xfId="0" applyBorder="1" applyAlignment="1"/>
    <xf numFmtId="0" fontId="1" fillId="0" borderId="0" xfId="0" applyFont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6" xfId="0" applyBorder="1" applyAlignmen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5" xfId="0" applyBorder="1" applyAlignment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 applyAlignment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9" xfId="0" applyBorder="1" applyAlignment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 applyAlignme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2" xfId="0" applyBorder="1" applyAlignment="1"/>
    <xf numFmtId="164" fontId="3" fillId="0" borderId="0" xfId="0" applyNumberFormat="1" applyFont="1"/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1" xfId="0" applyFont="1" applyBorder="1" applyAlignment="1" applyProtection="1">
      <alignment horizontal="center" vertical="top"/>
      <protection locked="0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right" vertical="top"/>
    </xf>
    <xf numFmtId="164" fontId="3" fillId="0" borderId="19" xfId="0" applyNumberFormat="1" applyFont="1" applyBorder="1" applyAlignment="1">
      <alignment horizontal="right" vertical="top"/>
    </xf>
    <xf numFmtId="164" fontId="3" fillId="0" borderId="55" xfId="0" applyNumberFormat="1" applyFont="1" applyBorder="1" applyAlignment="1">
      <alignment horizontal="right" vertical="top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queryTables/queryTable1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GroupeMachine" tableColumnId="1"/>
      <queryTableField id="2" name="Process" tableColumnId="2"/>
    </queryTableFields>
  </queryTableRefresh>
</queryTable>
</file>

<file path=xl/queryTables/queryTable2.xml><?xml version="1.0" encoding="utf-8"?>
<queryTable xmlns="http://schemas.openxmlformats.org/spreadsheetml/2006/main" name="Metalhom.accdb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Nom" tableColumnId="1"/>
      <queryTableField id="2" name="Proces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au_GroupeMachine" displayName="Tableau_GroupeMachine" ref="J2:K4" tableType="queryTable" totalsRowShown="0">
  <autoFilter ref="J2:K4"/>
  <tableColumns count="2">
    <tableColumn id="1" uniqueName="1" name="GroupeMachine" queryTableFieldId="1"/>
    <tableColumn id="2" uniqueName="2" name="Process" queryTableField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au_Machine" displayName="Tableau_Machine" ref="G2:H6" tableType="queryTable" totalsRowShown="0">
  <autoFilter ref="G2:H6"/>
  <tableColumns count="2">
    <tableColumn id="1" uniqueName="1" name="Nom" queryTableFieldId="1"/>
    <tableColumn id="2" uniqueName="2" name="Process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6"/>
  </sheetPr>
  <dimension ref="A1:AB99"/>
  <sheetViews>
    <sheetView showGridLines="0" showRowColHeaders="0" tabSelected="1" view="pageBreakPreview" zoomScale="96" zoomScaleNormal="100" zoomScaleSheetLayoutView="96" workbookViewId="0">
      <selection activeCell="E1" sqref="E1:I1"/>
    </sheetView>
  </sheetViews>
  <sheetFormatPr baseColWidth="10" defaultRowHeight="14.25" x14ac:dyDescent="0.2"/>
  <cols>
    <col min="1" max="1" width="5.25" customWidth="1"/>
    <col min="2" max="9" width="3.375" customWidth="1"/>
    <col min="12" max="12" width="15.5" customWidth="1"/>
    <col min="14" max="14" width="38.625" customWidth="1"/>
  </cols>
  <sheetData>
    <row r="1" spans="1:28" ht="27.75" customHeight="1" thickBot="1" x14ac:dyDescent="0.25">
      <c r="A1" s="55" t="s">
        <v>0</v>
      </c>
      <c r="B1" s="55"/>
      <c r="C1" s="55"/>
      <c r="D1" s="55"/>
      <c r="E1" s="56" t="s">
        <v>27</v>
      </c>
      <c r="F1" s="56"/>
      <c r="G1" s="56"/>
      <c r="H1" s="56"/>
      <c r="I1" s="56"/>
      <c r="J1" s="1" t="s">
        <v>2</v>
      </c>
      <c r="M1" s="1" t="s">
        <v>3</v>
      </c>
      <c r="O1" s="2" t="s">
        <v>16</v>
      </c>
    </row>
    <row r="2" spans="1:28" ht="116.25" customHeight="1" thickBot="1" x14ac:dyDescent="0.25">
      <c r="B2" s="3" t="s">
        <v>24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9</v>
      </c>
      <c r="H2" s="5" t="s">
        <v>10</v>
      </c>
      <c r="I2" s="6" t="s">
        <v>11</v>
      </c>
      <c r="J2" s="57" t="s">
        <v>12</v>
      </c>
      <c r="K2" s="58"/>
      <c r="L2" s="7" t="s">
        <v>13</v>
      </c>
      <c r="M2" s="59" t="s">
        <v>14</v>
      </c>
      <c r="N2" s="58"/>
    </row>
    <row r="3" spans="1:28" ht="9.9499999999999993" customHeight="1" x14ac:dyDescent="0.3">
      <c r="A3" s="60">
        <f>VLOOKUP($O$1,PeriodeExt,2,FALSE)</f>
        <v>21</v>
      </c>
      <c r="B3" s="8"/>
      <c r="C3" s="9"/>
      <c r="D3" s="9"/>
      <c r="E3" s="9"/>
      <c r="F3" s="9"/>
      <c r="G3" s="10"/>
      <c r="H3" s="10"/>
      <c r="I3" s="11"/>
      <c r="J3" s="63"/>
      <c r="K3" s="64"/>
      <c r="L3" s="12"/>
      <c r="M3" s="65"/>
      <c r="N3" s="64"/>
      <c r="AA3" s="13"/>
    </row>
    <row r="4" spans="1:28" ht="9.9499999999999993" customHeight="1" x14ac:dyDescent="0.3">
      <c r="A4" s="61"/>
      <c r="B4" s="14"/>
      <c r="C4" s="15"/>
      <c r="D4" s="15"/>
      <c r="E4" s="15"/>
      <c r="F4" s="15"/>
      <c r="G4" s="16"/>
      <c r="H4" s="16"/>
      <c r="I4" s="17"/>
      <c r="J4" s="47"/>
      <c r="K4" s="48"/>
      <c r="L4" s="18"/>
      <c r="M4" s="51"/>
      <c r="N4" s="52"/>
      <c r="AA4" s="13" t="s">
        <v>4</v>
      </c>
      <c r="AB4">
        <v>5</v>
      </c>
    </row>
    <row r="5" spans="1:28" ht="9.9499999999999993" customHeight="1" x14ac:dyDescent="0.3">
      <c r="A5" s="61"/>
      <c r="B5" s="19"/>
      <c r="C5" s="20"/>
      <c r="D5" s="20"/>
      <c r="E5" s="20"/>
      <c r="F5" s="20"/>
      <c r="G5" s="21"/>
      <c r="H5" s="21"/>
      <c r="I5" s="22"/>
      <c r="J5" s="45"/>
      <c r="K5" s="46"/>
      <c r="L5" s="23"/>
      <c r="M5" s="45"/>
      <c r="N5" s="46"/>
      <c r="AA5" s="13" t="s">
        <v>15</v>
      </c>
      <c r="AB5">
        <v>13</v>
      </c>
    </row>
    <row r="6" spans="1:28" ht="9.9499999999999993" customHeight="1" x14ac:dyDescent="0.3">
      <c r="A6" s="61"/>
      <c r="B6" s="24"/>
      <c r="C6" s="25"/>
      <c r="D6" s="25"/>
      <c r="E6" s="25"/>
      <c r="F6" s="25"/>
      <c r="G6" s="26"/>
      <c r="H6" s="26"/>
      <c r="I6" s="27"/>
      <c r="J6" s="47"/>
      <c r="K6" s="48"/>
      <c r="L6" s="28"/>
      <c r="M6" s="49"/>
      <c r="N6" s="50"/>
      <c r="AA6" s="13" t="s">
        <v>16</v>
      </c>
      <c r="AB6">
        <v>21</v>
      </c>
    </row>
    <row r="7" spans="1:28" ht="9.9499999999999993" customHeight="1" x14ac:dyDescent="0.2">
      <c r="A7" s="61"/>
      <c r="B7" s="14"/>
      <c r="C7" s="15"/>
      <c r="D7" s="15"/>
      <c r="E7" s="15"/>
      <c r="F7" s="15"/>
      <c r="G7" s="16"/>
      <c r="H7" s="16"/>
      <c r="I7" s="17"/>
      <c r="J7" s="47"/>
      <c r="K7" s="48"/>
      <c r="L7" s="18"/>
      <c r="M7" s="51"/>
      <c r="N7" s="52"/>
    </row>
    <row r="8" spans="1:28" ht="9.9499999999999993" customHeight="1" x14ac:dyDescent="0.2">
      <c r="A8" s="61"/>
      <c r="B8" s="29"/>
      <c r="C8" s="30"/>
      <c r="D8" s="30"/>
      <c r="E8" s="30"/>
      <c r="F8" s="30"/>
      <c r="G8" s="31"/>
      <c r="H8" s="31"/>
      <c r="I8" s="32"/>
      <c r="J8" s="53"/>
      <c r="K8" s="54"/>
      <c r="L8" s="33"/>
      <c r="M8" s="53"/>
      <c r="N8" s="54"/>
    </row>
    <row r="9" spans="1:28" ht="9.9499999999999993" customHeight="1" x14ac:dyDescent="0.2">
      <c r="A9" s="61"/>
      <c r="B9" s="34"/>
      <c r="C9" s="35"/>
      <c r="D9" s="35"/>
      <c r="E9" s="35"/>
      <c r="F9" s="35"/>
      <c r="G9" s="36"/>
      <c r="H9" s="36"/>
      <c r="I9" s="37"/>
      <c r="J9" s="47"/>
      <c r="K9" s="48"/>
      <c r="L9" s="38"/>
      <c r="M9" s="47"/>
      <c r="N9" s="48"/>
    </row>
    <row r="10" spans="1:28" ht="9.9499999999999993" customHeight="1" x14ac:dyDescent="0.2">
      <c r="A10" s="61"/>
      <c r="B10" s="14"/>
      <c r="C10" s="15"/>
      <c r="D10" s="15"/>
      <c r="E10" s="15"/>
      <c r="F10" s="15"/>
      <c r="G10" s="16"/>
      <c r="H10" s="16"/>
      <c r="I10" s="17"/>
      <c r="J10" s="47"/>
      <c r="K10" s="48"/>
      <c r="L10" s="18"/>
      <c r="M10" s="51"/>
      <c r="N10" s="52"/>
    </row>
    <row r="11" spans="1:28" ht="9.9499999999999993" customHeight="1" x14ac:dyDescent="0.2">
      <c r="A11" s="61"/>
      <c r="B11" s="19"/>
      <c r="C11" s="20"/>
      <c r="D11" s="20"/>
      <c r="E11" s="20"/>
      <c r="F11" s="20"/>
      <c r="G11" s="21"/>
      <c r="H11" s="21"/>
      <c r="I11" s="22"/>
      <c r="J11" s="45"/>
      <c r="K11" s="46"/>
      <c r="L11" s="23"/>
      <c r="M11" s="45"/>
      <c r="N11" s="46"/>
    </row>
    <row r="12" spans="1:28" ht="9.9499999999999993" customHeight="1" x14ac:dyDescent="0.2">
      <c r="A12" s="61"/>
      <c r="B12" s="24"/>
      <c r="C12" s="25"/>
      <c r="D12" s="25"/>
      <c r="E12" s="25"/>
      <c r="F12" s="25"/>
      <c r="G12" s="26"/>
      <c r="H12" s="26"/>
      <c r="I12" s="27"/>
      <c r="J12" s="47"/>
      <c r="K12" s="48"/>
      <c r="L12" s="28"/>
      <c r="M12" s="49"/>
      <c r="N12" s="50"/>
    </row>
    <row r="13" spans="1:28" ht="9.9499999999999993" customHeight="1" x14ac:dyDescent="0.2">
      <c r="A13" s="61"/>
      <c r="B13" s="14"/>
      <c r="C13" s="15"/>
      <c r="D13" s="15"/>
      <c r="E13" s="15"/>
      <c r="F13" s="15"/>
      <c r="G13" s="16"/>
      <c r="H13" s="16"/>
      <c r="I13" s="17"/>
      <c r="J13" s="47"/>
      <c r="K13" s="48"/>
      <c r="L13" s="18"/>
      <c r="M13" s="51"/>
      <c r="N13" s="52"/>
    </row>
    <row r="14" spans="1:28" ht="9.9499999999999993" customHeight="1" thickBot="1" x14ac:dyDescent="0.25">
      <c r="A14" s="62"/>
      <c r="B14" s="39"/>
      <c r="C14" s="40"/>
      <c r="D14" s="40"/>
      <c r="E14" s="40"/>
      <c r="F14" s="40"/>
      <c r="G14" s="41"/>
      <c r="H14" s="41"/>
      <c r="I14" s="42"/>
      <c r="J14" s="66"/>
      <c r="K14" s="67"/>
      <c r="L14" s="43"/>
      <c r="M14" s="66"/>
      <c r="N14" s="67"/>
    </row>
    <row r="15" spans="1:28" ht="9.9499999999999993" customHeight="1" x14ac:dyDescent="0.2">
      <c r="A15" s="60">
        <f>VLOOKUP($O$1,PeriodeExt,2,FALSE)+1</f>
        <v>22</v>
      </c>
      <c r="B15" s="8"/>
      <c r="C15" s="9"/>
      <c r="D15" s="9"/>
      <c r="E15" s="9"/>
      <c r="F15" s="9"/>
      <c r="G15" s="10"/>
      <c r="H15" s="10"/>
      <c r="I15" s="11"/>
      <c r="J15" s="63"/>
      <c r="K15" s="64"/>
      <c r="L15" s="12"/>
      <c r="M15" s="65"/>
      <c r="N15" s="64"/>
    </row>
    <row r="16" spans="1:28" ht="9.9499999999999993" customHeight="1" x14ac:dyDescent="0.2">
      <c r="A16" s="61"/>
      <c r="B16" s="14"/>
      <c r="C16" s="15"/>
      <c r="D16" s="15"/>
      <c r="E16" s="15"/>
      <c r="F16" s="15"/>
      <c r="G16" s="16"/>
      <c r="H16" s="16"/>
      <c r="I16" s="17"/>
      <c r="J16" s="47"/>
      <c r="K16" s="48"/>
      <c r="L16" s="18"/>
      <c r="M16" s="51"/>
      <c r="N16" s="52"/>
    </row>
    <row r="17" spans="1:14" ht="9.9499999999999993" customHeight="1" x14ac:dyDescent="0.2">
      <c r="A17" s="61"/>
      <c r="B17" s="19"/>
      <c r="C17" s="20"/>
      <c r="D17" s="20"/>
      <c r="E17" s="20"/>
      <c r="F17" s="20"/>
      <c r="G17" s="21"/>
      <c r="H17" s="21"/>
      <c r="I17" s="22"/>
      <c r="J17" s="45"/>
      <c r="K17" s="46"/>
      <c r="L17" s="23"/>
      <c r="M17" s="45"/>
      <c r="N17" s="46"/>
    </row>
    <row r="18" spans="1:14" ht="9.9499999999999993" customHeight="1" x14ac:dyDescent="0.2">
      <c r="A18" s="61"/>
      <c r="B18" s="24"/>
      <c r="C18" s="25"/>
      <c r="D18" s="25"/>
      <c r="E18" s="25"/>
      <c r="F18" s="25"/>
      <c r="G18" s="26"/>
      <c r="H18" s="26"/>
      <c r="I18" s="27"/>
      <c r="J18" s="47"/>
      <c r="K18" s="48"/>
      <c r="L18" s="28"/>
      <c r="M18" s="49"/>
      <c r="N18" s="50"/>
    </row>
    <row r="19" spans="1:14" ht="9.9499999999999993" customHeight="1" x14ac:dyDescent="0.2">
      <c r="A19" s="61"/>
      <c r="B19" s="14"/>
      <c r="C19" s="15"/>
      <c r="D19" s="15"/>
      <c r="E19" s="15"/>
      <c r="F19" s="15"/>
      <c r="G19" s="16"/>
      <c r="H19" s="16"/>
      <c r="I19" s="17"/>
      <c r="J19" s="47"/>
      <c r="K19" s="48"/>
      <c r="L19" s="18"/>
      <c r="M19" s="51"/>
      <c r="N19" s="52"/>
    </row>
    <row r="20" spans="1:14" ht="9.9499999999999993" customHeight="1" x14ac:dyDescent="0.2">
      <c r="A20" s="61"/>
      <c r="B20" s="29"/>
      <c r="C20" s="30"/>
      <c r="D20" s="30"/>
      <c r="E20" s="30"/>
      <c r="F20" s="30"/>
      <c r="G20" s="31"/>
      <c r="H20" s="31"/>
      <c r="I20" s="32"/>
      <c r="J20" s="53"/>
      <c r="K20" s="54"/>
      <c r="L20" s="33"/>
      <c r="M20" s="53"/>
      <c r="N20" s="54"/>
    </row>
    <row r="21" spans="1:14" ht="9.9499999999999993" customHeight="1" x14ac:dyDescent="0.2">
      <c r="A21" s="61"/>
      <c r="B21" s="34"/>
      <c r="C21" s="35"/>
      <c r="D21" s="35"/>
      <c r="E21" s="35"/>
      <c r="F21" s="35"/>
      <c r="G21" s="36"/>
      <c r="H21" s="36"/>
      <c r="I21" s="37"/>
      <c r="J21" s="47"/>
      <c r="K21" s="48"/>
      <c r="L21" s="38"/>
      <c r="M21" s="47"/>
      <c r="N21" s="48"/>
    </row>
    <row r="22" spans="1:14" ht="9.9499999999999993" customHeight="1" x14ac:dyDescent="0.2">
      <c r="A22" s="61"/>
      <c r="B22" s="14"/>
      <c r="C22" s="15"/>
      <c r="D22" s="15"/>
      <c r="E22" s="15"/>
      <c r="F22" s="15"/>
      <c r="G22" s="16"/>
      <c r="H22" s="16"/>
      <c r="I22" s="17"/>
      <c r="J22" s="47"/>
      <c r="K22" s="48"/>
      <c r="L22" s="18"/>
      <c r="M22" s="51"/>
      <c r="N22" s="52"/>
    </row>
    <row r="23" spans="1:14" ht="9.9499999999999993" customHeight="1" x14ac:dyDescent="0.2">
      <c r="A23" s="61"/>
      <c r="B23" s="19"/>
      <c r="C23" s="20"/>
      <c r="D23" s="20"/>
      <c r="E23" s="20"/>
      <c r="F23" s="20"/>
      <c r="G23" s="21"/>
      <c r="H23" s="21"/>
      <c r="I23" s="22"/>
      <c r="J23" s="45"/>
      <c r="K23" s="46"/>
      <c r="L23" s="23"/>
      <c r="M23" s="45"/>
      <c r="N23" s="46"/>
    </row>
    <row r="24" spans="1:14" ht="9.9499999999999993" customHeight="1" x14ac:dyDescent="0.2">
      <c r="A24" s="61"/>
      <c r="B24" s="24"/>
      <c r="C24" s="25"/>
      <c r="D24" s="25"/>
      <c r="E24" s="25"/>
      <c r="F24" s="25"/>
      <c r="G24" s="26"/>
      <c r="H24" s="26"/>
      <c r="I24" s="27"/>
      <c r="J24" s="47"/>
      <c r="K24" s="48"/>
      <c r="L24" s="28"/>
      <c r="M24" s="49"/>
      <c r="N24" s="50"/>
    </row>
    <row r="25" spans="1:14" ht="9.9499999999999993" customHeight="1" x14ac:dyDescent="0.2">
      <c r="A25" s="61"/>
      <c r="B25" s="14"/>
      <c r="C25" s="15"/>
      <c r="D25" s="15"/>
      <c r="E25" s="15"/>
      <c r="F25" s="15"/>
      <c r="G25" s="16"/>
      <c r="H25" s="16"/>
      <c r="I25" s="17"/>
      <c r="J25" s="47"/>
      <c r="K25" s="48"/>
      <c r="L25" s="18"/>
      <c r="M25" s="51"/>
      <c r="N25" s="52"/>
    </row>
    <row r="26" spans="1:14" ht="9.9499999999999993" customHeight="1" thickBot="1" x14ac:dyDescent="0.25">
      <c r="A26" s="62"/>
      <c r="B26" s="39"/>
      <c r="C26" s="40"/>
      <c r="D26" s="40"/>
      <c r="E26" s="40"/>
      <c r="F26" s="40"/>
      <c r="G26" s="41"/>
      <c r="H26" s="41"/>
      <c r="I26" s="42"/>
      <c r="J26" s="66"/>
      <c r="K26" s="67"/>
      <c r="L26" s="43"/>
      <c r="M26" s="66"/>
      <c r="N26" s="67"/>
    </row>
    <row r="27" spans="1:14" ht="9.9499999999999993" customHeight="1" x14ac:dyDescent="0.2">
      <c r="A27" s="60">
        <f>VLOOKUP($O$1,PeriodeExt,2,FALSE)+2</f>
        <v>23</v>
      </c>
      <c r="B27" s="8"/>
      <c r="C27" s="9"/>
      <c r="D27" s="9"/>
      <c r="E27" s="9"/>
      <c r="F27" s="9"/>
      <c r="G27" s="10"/>
      <c r="H27" s="10"/>
      <c r="I27" s="11"/>
      <c r="J27" s="63"/>
      <c r="K27" s="64"/>
      <c r="L27" s="12"/>
      <c r="M27" s="65"/>
      <c r="N27" s="64"/>
    </row>
    <row r="28" spans="1:14" ht="9.9499999999999993" customHeight="1" x14ac:dyDescent="0.2">
      <c r="A28" s="61"/>
      <c r="B28" s="14"/>
      <c r="C28" s="15"/>
      <c r="D28" s="15"/>
      <c r="E28" s="15"/>
      <c r="F28" s="15"/>
      <c r="G28" s="16"/>
      <c r="H28" s="16"/>
      <c r="I28" s="17"/>
      <c r="J28" s="47"/>
      <c r="K28" s="48"/>
      <c r="L28" s="18"/>
      <c r="M28" s="51"/>
      <c r="N28" s="52"/>
    </row>
    <row r="29" spans="1:14" ht="9.9499999999999993" customHeight="1" x14ac:dyDescent="0.2">
      <c r="A29" s="61"/>
      <c r="B29" s="19"/>
      <c r="C29" s="20"/>
      <c r="D29" s="20"/>
      <c r="E29" s="20"/>
      <c r="F29" s="20"/>
      <c r="G29" s="21"/>
      <c r="H29" s="21"/>
      <c r="I29" s="22"/>
      <c r="J29" s="45"/>
      <c r="K29" s="46"/>
      <c r="L29" s="23"/>
      <c r="M29" s="45"/>
      <c r="N29" s="46"/>
    </row>
    <row r="30" spans="1:14" ht="9.9499999999999993" customHeight="1" x14ac:dyDescent="0.2">
      <c r="A30" s="61"/>
      <c r="B30" s="24"/>
      <c r="C30" s="25"/>
      <c r="D30" s="25"/>
      <c r="E30" s="25"/>
      <c r="F30" s="25"/>
      <c r="G30" s="26"/>
      <c r="H30" s="26"/>
      <c r="I30" s="27"/>
      <c r="J30" s="47"/>
      <c r="K30" s="48"/>
      <c r="L30" s="28"/>
      <c r="M30" s="49"/>
      <c r="N30" s="50"/>
    </row>
    <row r="31" spans="1:14" ht="9.9499999999999993" customHeight="1" x14ac:dyDescent="0.2">
      <c r="A31" s="61"/>
      <c r="B31" s="14"/>
      <c r="C31" s="15"/>
      <c r="D31" s="15"/>
      <c r="E31" s="15"/>
      <c r="F31" s="15"/>
      <c r="G31" s="16"/>
      <c r="H31" s="16"/>
      <c r="I31" s="17"/>
      <c r="J31" s="47"/>
      <c r="K31" s="48"/>
      <c r="L31" s="18"/>
      <c r="M31" s="51"/>
      <c r="N31" s="52"/>
    </row>
    <row r="32" spans="1:14" ht="9.9499999999999993" customHeight="1" x14ac:dyDescent="0.2">
      <c r="A32" s="61"/>
      <c r="B32" s="29"/>
      <c r="C32" s="30"/>
      <c r="D32" s="30"/>
      <c r="E32" s="30"/>
      <c r="F32" s="30"/>
      <c r="G32" s="31"/>
      <c r="H32" s="31"/>
      <c r="I32" s="32"/>
      <c r="J32" s="53"/>
      <c r="K32" s="54"/>
      <c r="L32" s="33"/>
      <c r="M32" s="53"/>
      <c r="N32" s="54"/>
    </row>
    <row r="33" spans="1:14" ht="9.9499999999999993" customHeight="1" x14ac:dyDescent="0.2">
      <c r="A33" s="61"/>
      <c r="B33" s="34"/>
      <c r="C33" s="35"/>
      <c r="D33" s="35"/>
      <c r="E33" s="35"/>
      <c r="F33" s="35"/>
      <c r="G33" s="36"/>
      <c r="H33" s="36"/>
      <c r="I33" s="37"/>
      <c r="J33" s="47"/>
      <c r="K33" s="48"/>
      <c r="L33" s="38"/>
      <c r="M33" s="47"/>
      <c r="N33" s="48"/>
    </row>
    <row r="34" spans="1:14" ht="9.9499999999999993" customHeight="1" x14ac:dyDescent="0.2">
      <c r="A34" s="61"/>
      <c r="B34" s="14"/>
      <c r="C34" s="15"/>
      <c r="D34" s="15"/>
      <c r="E34" s="15"/>
      <c r="F34" s="15"/>
      <c r="G34" s="16"/>
      <c r="H34" s="16"/>
      <c r="I34" s="17"/>
      <c r="J34" s="47"/>
      <c r="K34" s="48"/>
      <c r="L34" s="18"/>
      <c r="M34" s="51"/>
      <c r="N34" s="52"/>
    </row>
    <row r="35" spans="1:14" ht="9.9499999999999993" customHeight="1" x14ac:dyDescent="0.2">
      <c r="A35" s="61"/>
      <c r="B35" s="19"/>
      <c r="C35" s="20"/>
      <c r="D35" s="20"/>
      <c r="E35" s="20"/>
      <c r="F35" s="20"/>
      <c r="G35" s="21"/>
      <c r="H35" s="21"/>
      <c r="I35" s="22"/>
      <c r="J35" s="45"/>
      <c r="K35" s="46"/>
      <c r="L35" s="23"/>
      <c r="M35" s="45"/>
      <c r="N35" s="46"/>
    </row>
    <row r="36" spans="1:14" ht="9.9499999999999993" customHeight="1" x14ac:dyDescent="0.2">
      <c r="A36" s="61"/>
      <c r="B36" s="24"/>
      <c r="C36" s="25"/>
      <c r="D36" s="25"/>
      <c r="E36" s="25"/>
      <c r="F36" s="25"/>
      <c r="G36" s="26"/>
      <c r="H36" s="26"/>
      <c r="I36" s="27"/>
      <c r="J36" s="47"/>
      <c r="K36" s="48"/>
      <c r="L36" s="28"/>
      <c r="M36" s="49"/>
      <c r="N36" s="50"/>
    </row>
    <row r="37" spans="1:14" ht="9.9499999999999993" customHeight="1" x14ac:dyDescent="0.2">
      <c r="A37" s="61"/>
      <c r="B37" s="14"/>
      <c r="C37" s="15"/>
      <c r="D37" s="15"/>
      <c r="E37" s="15"/>
      <c r="F37" s="15"/>
      <c r="G37" s="16"/>
      <c r="H37" s="16"/>
      <c r="I37" s="17"/>
      <c r="J37" s="47"/>
      <c r="K37" s="48"/>
      <c r="L37" s="18"/>
      <c r="M37" s="51"/>
      <c r="N37" s="52"/>
    </row>
    <row r="38" spans="1:14" ht="9.9499999999999993" customHeight="1" thickBot="1" x14ac:dyDescent="0.25">
      <c r="A38" s="62"/>
      <c r="B38" s="39"/>
      <c r="C38" s="40"/>
      <c r="D38" s="40"/>
      <c r="E38" s="40"/>
      <c r="F38" s="40"/>
      <c r="G38" s="41"/>
      <c r="H38" s="41"/>
      <c r="I38" s="42"/>
      <c r="J38" s="66"/>
      <c r="K38" s="67"/>
      <c r="L38" s="43"/>
      <c r="M38" s="66"/>
      <c r="N38" s="67"/>
    </row>
    <row r="39" spans="1:14" ht="9.9499999999999993" customHeight="1" x14ac:dyDescent="0.2">
      <c r="A39" s="60">
        <f>IF(VLOOKUP($O$1,PeriodeExt,2,FALSE)+3=24,0,VLOOKUP($O$1,PeriodeExt,2,FALSE)+3)</f>
        <v>0</v>
      </c>
      <c r="B39" s="8"/>
      <c r="C39" s="9"/>
      <c r="D39" s="9"/>
      <c r="E39" s="9"/>
      <c r="F39" s="9"/>
      <c r="G39" s="10"/>
      <c r="H39" s="10"/>
      <c r="I39" s="11"/>
      <c r="J39" s="63"/>
      <c r="K39" s="64"/>
      <c r="L39" s="12"/>
      <c r="M39" s="65"/>
      <c r="N39" s="64"/>
    </row>
    <row r="40" spans="1:14" ht="9.9499999999999993" customHeight="1" x14ac:dyDescent="0.2">
      <c r="A40" s="61"/>
      <c r="B40" s="14"/>
      <c r="C40" s="15"/>
      <c r="D40" s="15"/>
      <c r="E40" s="15"/>
      <c r="F40" s="15"/>
      <c r="G40" s="16"/>
      <c r="H40" s="16"/>
      <c r="I40" s="17"/>
      <c r="J40" s="47"/>
      <c r="K40" s="48"/>
      <c r="L40" s="18"/>
      <c r="M40" s="51"/>
      <c r="N40" s="52"/>
    </row>
    <row r="41" spans="1:14" ht="9.9499999999999993" customHeight="1" x14ac:dyDescent="0.2">
      <c r="A41" s="61"/>
      <c r="B41" s="19"/>
      <c r="C41" s="20"/>
      <c r="D41" s="20"/>
      <c r="E41" s="20"/>
      <c r="F41" s="20"/>
      <c r="G41" s="21"/>
      <c r="H41" s="21"/>
      <c r="I41" s="22"/>
      <c r="J41" s="45"/>
      <c r="K41" s="46"/>
      <c r="L41" s="23"/>
      <c r="M41" s="45"/>
      <c r="N41" s="46"/>
    </row>
    <row r="42" spans="1:14" ht="9.9499999999999993" customHeight="1" x14ac:dyDescent="0.2">
      <c r="A42" s="61"/>
      <c r="B42" s="24"/>
      <c r="C42" s="25"/>
      <c r="D42" s="25"/>
      <c r="E42" s="25"/>
      <c r="F42" s="25"/>
      <c r="G42" s="26"/>
      <c r="H42" s="26"/>
      <c r="I42" s="27"/>
      <c r="J42" s="47"/>
      <c r="K42" s="48"/>
      <c r="L42" s="28"/>
      <c r="M42" s="49"/>
      <c r="N42" s="50"/>
    </row>
    <row r="43" spans="1:14" ht="9.9499999999999993" customHeight="1" x14ac:dyDescent="0.2">
      <c r="A43" s="61"/>
      <c r="B43" s="14"/>
      <c r="C43" s="15"/>
      <c r="D43" s="15"/>
      <c r="E43" s="15"/>
      <c r="F43" s="15"/>
      <c r="G43" s="16"/>
      <c r="H43" s="16"/>
      <c r="I43" s="17"/>
      <c r="J43" s="47"/>
      <c r="K43" s="48"/>
      <c r="L43" s="18"/>
      <c r="M43" s="51"/>
      <c r="N43" s="52"/>
    </row>
    <row r="44" spans="1:14" ht="9.9499999999999993" customHeight="1" x14ac:dyDescent="0.2">
      <c r="A44" s="61"/>
      <c r="B44" s="29"/>
      <c r="C44" s="30"/>
      <c r="D44" s="30"/>
      <c r="E44" s="30"/>
      <c r="F44" s="30"/>
      <c r="G44" s="31"/>
      <c r="H44" s="31"/>
      <c r="I44" s="32"/>
      <c r="J44" s="53"/>
      <c r="K44" s="54"/>
      <c r="L44" s="33"/>
      <c r="M44" s="53"/>
      <c r="N44" s="54"/>
    </row>
    <row r="45" spans="1:14" ht="9.9499999999999993" customHeight="1" x14ac:dyDescent="0.2">
      <c r="A45" s="61"/>
      <c r="B45" s="34"/>
      <c r="C45" s="35"/>
      <c r="D45" s="35"/>
      <c r="E45" s="35"/>
      <c r="F45" s="35"/>
      <c r="G45" s="36"/>
      <c r="H45" s="36"/>
      <c r="I45" s="37"/>
      <c r="J45" s="47"/>
      <c r="K45" s="48"/>
      <c r="L45" s="38"/>
      <c r="M45" s="47"/>
      <c r="N45" s="48"/>
    </row>
    <row r="46" spans="1:14" ht="9.9499999999999993" customHeight="1" x14ac:dyDescent="0.2">
      <c r="A46" s="61"/>
      <c r="B46" s="14"/>
      <c r="C46" s="15"/>
      <c r="D46" s="15"/>
      <c r="E46" s="15"/>
      <c r="F46" s="15"/>
      <c r="G46" s="16"/>
      <c r="H46" s="16"/>
      <c r="I46" s="17"/>
      <c r="J46" s="47"/>
      <c r="K46" s="48"/>
      <c r="L46" s="18"/>
      <c r="M46" s="51"/>
      <c r="N46" s="52"/>
    </row>
    <row r="47" spans="1:14" ht="9.9499999999999993" customHeight="1" x14ac:dyDescent="0.2">
      <c r="A47" s="61"/>
      <c r="B47" s="19"/>
      <c r="C47" s="20"/>
      <c r="D47" s="20"/>
      <c r="E47" s="20"/>
      <c r="F47" s="20"/>
      <c r="G47" s="21"/>
      <c r="H47" s="21"/>
      <c r="I47" s="22"/>
      <c r="J47" s="45"/>
      <c r="K47" s="46"/>
      <c r="L47" s="23"/>
      <c r="M47" s="45"/>
      <c r="N47" s="46"/>
    </row>
    <row r="48" spans="1:14" ht="9.9499999999999993" customHeight="1" x14ac:dyDescent="0.2">
      <c r="A48" s="61"/>
      <c r="B48" s="24"/>
      <c r="C48" s="25"/>
      <c r="D48" s="25"/>
      <c r="E48" s="25"/>
      <c r="F48" s="25"/>
      <c r="G48" s="26"/>
      <c r="H48" s="26"/>
      <c r="I48" s="27"/>
      <c r="J48" s="47"/>
      <c r="K48" s="48"/>
      <c r="L48" s="28"/>
      <c r="M48" s="49"/>
      <c r="N48" s="50"/>
    </row>
    <row r="49" spans="1:14" ht="9.9499999999999993" customHeight="1" x14ac:dyDescent="0.2">
      <c r="A49" s="61"/>
      <c r="B49" s="14"/>
      <c r="C49" s="15"/>
      <c r="D49" s="15"/>
      <c r="E49" s="15"/>
      <c r="F49" s="15"/>
      <c r="G49" s="16"/>
      <c r="H49" s="16"/>
      <c r="I49" s="17"/>
      <c r="J49" s="47"/>
      <c r="K49" s="48"/>
      <c r="L49" s="18"/>
      <c r="M49" s="51"/>
      <c r="N49" s="52"/>
    </row>
    <row r="50" spans="1:14" ht="9.9499999999999993" customHeight="1" thickBot="1" x14ac:dyDescent="0.25">
      <c r="A50" s="62"/>
      <c r="B50" s="39"/>
      <c r="C50" s="40"/>
      <c r="D50" s="40"/>
      <c r="E50" s="40"/>
      <c r="F50" s="40"/>
      <c r="G50" s="41"/>
      <c r="H50" s="41"/>
      <c r="I50" s="42"/>
      <c r="J50" s="66"/>
      <c r="K50" s="67"/>
      <c r="L50" s="43"/>
      <c r="M50" s="66"/>
      <c r="N50" s="67"/>
    </row>
    <row r="51" spans="1:14" ht="9.9499999999999993" customHeight="1" x14ac:dyDescent="0.2">
      <c r="A51" s="60">
        <f>IF(VLOOKUP($O$1,PeriodeExt,2,FALSE)+4=25,1,VLOOKUP($O$1,PeriodeExt,2,FALSE)+4)</f>
        <v>1</v>
      </c>
      <c r="B51" s="8"/>
      <c r="C51" s="9"/>
      <c r="D51" s="9"/>
      <c r="E51" s="9"/>
      <c r="F51" s="9"/>
      <c r="G51" s="10"/>
      <c r="H51" s="10"/>
      <c r="I51" s="11"/>
      <c r="J51" s="63"/>
      <c r="K51" s="64"/>
      <c r="L51" s="12"/>
      <c r="M51" s="65"/>
      <c r="N51" s="64"/>
    </row>
    <row r="52" spans="1:14" ht="9.9499999999999993" customHeight="1" x14ac:dyDescent="0.2">
      <c r="A52" s="61"/>
      <c r="B52" s="14"/>
      <c r="C52" s="15"/>
      <c r="D52" s="15"/>
      <c r="E52" s="15"/>
      <c r="F52" s="15"/>
      <c r="G52" s="16"/>
      <c r="H52" s="16"/>
      <c r="I52" s="17"/>
      <c r="J52" s="47"/>
      <c r="K52" s="48"/>
      <c r="L52" s="18"/>
      <c r="M52" s="51"/>
      <c r="N52" s="52"/>
    </row>
    <row r="53" spans="1:14" ht="9.9499999999999993" customHeight="1" x14ac:dyDescent="0.2">
      <c r="A53" s="61"/>
      <c r="B53" s="19"/>
      <c r="C53" s="20"/>
      <c r="D53" s="20"/>
      <c r="E53" s="20"/>
      <c r="F53" s="20"/>
      <c r="G53" s="21"/>
      <c r="H53" s="21"/>
      <c r="I53" s="22"/>
      <c r="J53" s="45"/>
      <c r="K53" s="46"/>
      <c r="L53" s="23"/>
      <c r="M53" s="45"/>
      <c r="N53" s="46"/>
    </row>
    <row r="54" spans="1:14" ht="9.9499999999999993" customHeight="1" x14ac:dyDescent="0.2">
      <c r="A54" s="61"/>
      <c r="B54" s="24"/>
      <c r="C54" s="25"/>
      <c r="D54" s="25"/>
      <c r="E54" s="25"/>
      <c r="F54" s="25"/>
      <c r="G54" s="26"/>
      <c r="H54" s="26"/>
      <c r="I54" s="27"/>
      <c r="J54" s="47"/>
      <c r="K54" s="48"/>
      <c r="L54" s="28"/>
      <c r="M54" s="49"/>
      <c r="N54" s="50"/>
    </row>
    <row r="55" spans="1:14" ht="9.9499999999999993" customHeight="1" x14ac:dyDescent="0.2">
      <c r="A55" s="61"/>
      <c r="B55" s="14"/>
      <c r="C55" s="15"/>
      <c r="D55" s="15"/>
      <c r="E55" s="15"/>
      <c r="F55" s="15"/>
      <c r="G55" s="16"/>
      <c r="H55" s="16"/>
      <c r="I55" s="17"/>
      <c r="J55" s="47"/>
      <c r="K55" s="48"/>
      <c r="L55" s="18"/>
      <c r="M55" s="51"/>
      <c r="N55" s="52"/>
    </row>
    <row r="56" spans="1:14" ht="9.9499999999999993" customHeight="1" x14ac:dyDescent="0.2">
      <c r="A56" s="61"/>
      <c r="B56" s="29"/>
      <c r="C56" s="30"/>
      <c r="D56" s="30"/>
      <c r="E56" s="30"/>
      <c r="F56" s="30"/>
      <c r="G56" s="31"/>
      <c r="H56" s="31"/>
      <c r="I56" s="32"/>
      <c r="J56" s="53"/>
      <c r="K56" s="54"/>
      <c r="L56" s="33"/>
      <c r="M56" s="53"/>
      <c r="N56" s="54"/>
    </row>
    <row r="57" spans="1:14" ht="9.9499999999999993" customHeight="1" x14ac:dyDescent="0.2">
      <c r="A57" s="61"/>
      <c r="B57" s="34"/>
      <c r="C57" s="35"/>
      <c r="D57" s="35"/>
      <c r="E57" s="35"/>
      <c r="F57" s="35"/>
      <c r="G57" s="36"/>
      <c r="H57" s="36"/>
      <c r="I57" s="37"/>
      <c r="J57" s="47"/>
      <c r="K57" s="48"/>
      <c r="L57" s="38"/>
      <c r="M57" s="47"/>
      <c r="N57" s="48"/>
    </row>
    <row r="58" spans="1:14" ht="9.9499999999999993" customHeight="1" x14ac:dyDescent="0.2">
      <c r="A58" s="61"/>
      <c r="B58" s="14"/>
      <c r="C58" s="15"/>
      <c r="D58" s="15"/>
      <c r="E58" s="15"/>
      <c r="F58" s="15"/>
      <c r="G58" s="16"/>
      <c r="H58" s="16"/>
      <c r="I58" s="17"/>
      <c r="J58" s="47"/>
      <c r="K58" s="48"/>
      <c r="L58" s="18"/>
      <c r="M58" s="51"/>
      <c r="N58" s="52"/>
    </row>
    <row r="59" spans="1:14" ht="9.9499999999999993" customHeight="1" x14ac:dyDescent="0.2">
      <c r="A59" s="61"/>
      <c r="B59" s="19"/>
      <c r="C59" s="20"/>
      <c r="D59" s="20"/>
      <c r="E59" s="20"/>
      <c r="F59" s="20"/>
      <c r="G59" s="21"/>
      <c r="H59" s="21"/>
      <c r="I59" s="22"/>
      <c r="J59" s="45"/>
      <c r="K59" s="46"/>
      <c r="L59" s="23"/>
      <c r="M59" s="45"/>
      <c r="N59" s="46"/>
    </row>
    <row r="60" spans="1:14" ht="9.9499999999999993" customHeight="1" x14ac:dyDescent="0.2">
      <c r="A60" s="61"/>
      <c r="B60" s="24"/>
      <c r="C60" s="25"/>
      <c r="D60" s="25"/>
      <c r="E60" s="25"/>
      <c r="F60" s="25"/>
      <c r="G60" s="26"/>
      <c r="H60" s="26"/>
      <c r="I60" s="27"/>
      <c r="J60" s="47"/>
      <c r="K60" s="48"/>
      <c r="L60" s="28"/>
      <c r="M60" s="49"/>
      <c r="N60" s="50"/>
    </row>
    <row r="61" spans="1:14" ht="9.9499999999999993" customHeight="1" x14ac:dyDescent="0.2">
      <c r="A61" s="61"/>
      <c r="B61" s="14"/>
      <c r="C61" s="15"/>
      <c r="D61" s="15"/>
      <c r="E61" s="15"/>
      <c r="F61" s="15"/>
      <c r="G61" s="16"/>
      <c r="H61" s="16"/>
      <c r="I61" s="17"/>
      <c r="J61" s="47"/>
      <c r="K61" s="48"/>
      <c r="L61" s="18"/>
      <c r="M61" s="51"/>
      <c r="N61" s="52"/>
    </row>
    <row r="62" spans="1:14" ht="9.9499999999999993" customHeight="1" thickBot="1" x14ac:dyDescent="0.25">
      <c r="A62" s="62"/>
      <c r="B62" s="39"/>
      <c r="C62" s="40"/>
      <c r="D62" s="40"/>
      <c r="E62" s="40"/>
      <c r="F62" s="40"/>
      <c r="G62" s="41"/>
      <c r="H62" s="41"/>
      <c r="I62" s="42"/>
      <c r="J62" s="66"/>
      <c r="K62" s="67"/>
      <c r="L62" s="43"/>
      <c r="M62" s="66"/>
      <c r="N62" s="67"/>
    </row>
    <row r="63" spans="1:14" ht="9.9499999999999993" customHeight="1" x14ac:dyDescent="0.2">
      <c r="A63" s="60">
        <f>IF(VLOOKUP($O$1,PeriodeExt,2,FALSE)+5=26,2,VLOOKUP($O$1,PeriodeExt,2,FALSE)+5)</f>
        <v>2</v>
      </c>
      <c r="B63" s="8"/>
      <c r="C63" s="9"/>
      <c r="D63" s="9"/>
      <c r="E63" s="9"/>
      <c r="F63" s="9"/>
      <c r="G63" s="10"/>
      <c r="H63" s="10"/>
      <c r="I63" s="11"/>
      <c r="J63" s="63"/>
      <c r="K63" s="64"/>
      <c r="L63" s="12"/>
      <c r="M63" s="65"/>
      <c r="N63" s="64"/>
    </row>
    <row r="64" spans="1:14" ht="9.9499999999999993" customHeight="1" x14ac:dyDescent="0.2">
      <c r="A64" s="61"/>
      <c r="B64" s="14"/>
      <c r="C64" s="15"/>
      <c r="D64" s="15"/>
      <c r="E64" s="15"/>
      <c r="F64" s="15"/>
      <c r="G64" s="16"/>
      <c r="H64" s="16"/>
      <c r="I64" s="17"/>
      <c r="J64" s="47"/>
      <c r="K64" s="48"/>
      <c r="L64" s="18"/>
      <c r="M64" s="51"/>
      <c r="N64" s="52"/>
    </row>
    <row r="65" spans="1:14" ht="9.9499999999999993" customHeight="1" x14ac:dyDescent="0.2">
      <c r="A65" s="61"/>
      <c r="B65" s="19"/>
      <c r="C65" s="20"/>
      <c r="D65" s="20"/>
      <c r="E65" s="20"/>
      <c r="F65" s="20"/>
      <c r="G65" s="21"/>
      <c r="H65" s="21"/>
      <c r="I65" s="22"/>
      <c r="J65" s="45"/>
      <c r="K65" s="46"/>
      <c r="L65" s="23"/>
      <c r="M65" s="45"/>
      <c r="N65" s="46"/>
    </row>
    <row r="66" spans="1:14" ht="9.9499999999999993" customHeight="1" x14ac:dyDescent="0.2">
      <c r="A66" s="61"/>
      <c r="B66" s="24"/>
      <c r="C66" s="25"/>
      <c r="D66" s="25"/>
      <c r="E66" s="25"/>
      <c r="F66" s="25"/>
      <c r="G66" s="26"/>
      <c r="H66" s="26"/>
      <c r="I66" s="27"/>
      <c r="J66" s="47"/>
      <c r="K66" s="48"/>
      <c r="L66" s="28"/>
      <c r="M66" s="49"/>
      <c r="N66" s="50"/>
    </row>
    <row r="67" spans="1:14" ht="9.9499999999999993" customHeight="1" x14ac:dyDescent="0.2">
      <c r="A67" s="61"/>
      <c r="B67" s="14"/>
      <c r="C67" s="15"/>
      <c r="D67" s="15"/>
      <c r="E67" s="15"/>
      <c r="F67" s="15"/>
      <c r="G67" s="16"/>
      <c r="H67" s="16"/>
      <c r="I67" s="17"/>
      <c r="J67" s="47"/>
      <c r="K67" s="48"/>
      <c r="L67" s="18"/>
      <c r="M67" s="51"/>
      <c r="N67" s="52"/>
    </row>
    <row r="68" spans="1:14" ht="9.9499999999999993" customHeight="1" x14ac:dyDescent="0.2">
      <c r="A68" s="61"/>
      <c r="B68" s="29"/>
      <c r="C68" s="30"/>
      <c r="D68" s="30"/>
      <c r="E68" s="30"/>
      <c r="F68" s="30"/>
      <c r="G68" s="31"/>
      <c r="H68" s="31"/>
      <c r="I68" s="32"/>
      <c r="J68" s="53"/>
      <c r="K68" s="54"/>
      <c r="L68" s="33"/>
      <c r="M68" s="53"/>
      <c r="N68" s="54"/>
    </row>
    <row r="69" spans="1:14" ht="9.9499999999999993" customHeight="1" x14ac:dyDescent="0.2">
      <c r="A69" s="61"/>
      <c r="B69" s="34"/>
      <c r="C69" s="35"/>
      <c r="D69" s="35"/>
      <c r="E69" s="35"/>
      <c r="F69" s="35"/>
      <c r="G69" s="36"/>
      <c r="H69" s="36"/>
      <c r="I69" s="37"/>
      <c r="J69" s="47"/>
      <c r="K69" s="48"/>
      <c r="L69" s="38"/>
      <c r="M69" s="47"/>
      <c r="N69" s="48"/>
    </row>
    <row r="70" spans="1:14" ht="9.9499999999999993" customHeight="1" x14ac:dyDescent="0.2">
      <c r="A70" s="61"/>
      <c r="B70" s="14"/>
      <c r="C70" s="15"/>
      <c r="D70" s="15"/>
      <c r="E70" s="15"/>
      <c r="F70" s="15"/>
      <c r="G70" s="16"/>
      <c r="H70" s="16"/>
      <c r="I70" s="17"/>
      <c r="J70" s="47"/>
      <c r="K70" s="48"/>
      <c r="L70" s="18"/>
      <c r="M70" s="51"/>
      <c r="N70" s="52"/>
    </row>
    <row r="71" spans="1:14" ht="9.9499999999999993" customHeight="1" x14ac:dyDescent="0.2">
      <c r="A71" s="61"/>
      <c r="B71" s="19"/>
      <c r="C71" s="20"/>
      <c r="D71" s="20"/>
      <c r="E71" s="20"/>
      <c r="F71" s="20"/>
      <c r="G71" s="21"/>
      <c r="H71" s="21"/>
      <c r="I71" s="22"/>
      <c r="J71" s="45"/>
      <c r="K71" s="46"/>
      <c r="L71" s="23"/>
      <c r="M71" s="45"/>
      <c r="N71" s="46"/>
    </row>
    <row r="72" spans="1:14" ht="9.9499999999999993" customHeight="1" x14ac:dyDescent="0.2">
      <c r="A72" s="61"/>
      <c r="B72" s="24"/>
      <c r="C72" s="25"/>
      <c r="D72" s="25"/>
      <c r="E72" s="25"/>
      <c r="F72" s="25"/>
      <c r="G72" s="26"/>
      <c r="H72" s="26"/>
      <c r="I72" s="27"/>
      <c r="J72" s="47"/>
      <c r="K72" s="48"/>
      <c r="L72" s="28"/>
      <c r="M72" s="49"/>
      <c r="N72" s="50"/>
    </row>
    <row r="73" spans="1:14" ht="9.9499999999999993" customHeight="1" x14ac:dyDescent="0.2">
      <c r="A73" s="61"/>
      <c r="B73" s="14"/>
      <c r="C73" s="15"/>
      <c r="D73" s="15"/>
      <c r="E73" s="15"/>
      <c r="F73" s="15"/>
      <c r="G73" s="16"/>
      <c r="H73" s="16"/>
      <c r="I73" s="17"/>
      <c r="J73" s="47"/>
      <c r="K73" s="48"/>
      <c r="L73" s="18"/>
      <c r="M73" s="51"/>
      <c r="N73" s="52"/>
    </row>
    <row r="74" spans="1:14" ht="9.9499999999999993" customHeight="1" thickBot="1" x14ac:dyDescent="0.25">
      <c r="A74" s="62"/>
      <c r="B74" s="39"/>
      <c r="C74" s="40"/>
      <c r="D74" s="40"/>
      <c r="E74" s="40"/>
      <c r="F74" s="40"/>
      <c r="G74" s="41"/>
      <c r="H74" s="41"/>
      <c r="I74" s="42"/>
      <c r="J74" s="66"/>
      <c r="K74" s="67"/>
      <c r="L74" s="43"/>
      <c r="M74" s="66"/>
      <c r="N74" s="67"/>
    </row>
    <row r="75" spans="1:14" ht="9.9499999999999993" customHeight="1" x14ac:dyDescent="0.2">
      <c r="A75" s="60">
        <f>IF(VLOOKUP($O$1,PeriodeExt,2,FALSE)+6=27,3,VLOOKUP($O$1,PeriodeExt,2,FALSE)+6)</f>
        <v>3</v>
      </c>
      <c r="B75" s="8"/>
      <c r="C75" s="9"/>
      <c r="D75" s="9"/>
      <c r="E75" s="9"/>
      <c r="F75" s="9"/>
      <c r="G75" s="10"/>
      <c r="H75" s="10"/>
      <c r="I75" s="11"/>
      <c r="J75" s="63"/>
      <c r="K75" s="64"/>
      <c r="L75" s="12"/>
      <c r="M75" s="65"/>
      <c r="N75" s="64"/>
    </row>
    <row r="76" spans="1:14" ht="9.9499999999999993" customHeight="1" x14ac:dyDescent="0.2">
      <c r="A76" s="61"/>
      <c r="B76" s="14"/>
      <c r="C76" s="15"/>
      <c r="D76" s="15"/>
      <c r="E76" s="15"/>
      <c r="F76" s="15"/>
      <c r="G76" s="16"/>
      <c r="H76" s="16"/>
      <c r="I76" s="17"/>
      <c r="J76" s="47"/>
      <c r="K76" s="48"/>
      <c r="L76" s="18"/>
      <c r="M76" s="51"/>
      <c r="N76" s="52"/>
    </row>
    <row r="77" spans="1:14" ht="9.9499999999999993" customHeight="1" x14ac:dyDescent="0.2">
      <c r="A77" s="61"/>
      <c r="B77" s="19"/>
      <c r="C77" s="20"/>
      <c r="D77" s="20"/>
      <c r="E77" s="20"/>
      <c r="F77" s="20"/>
      <c r="G77" s="21"/>
      <c r="H77" s="21"/>
      <c r="I77" s="22"/>
      <c r="J77" s="45"/>
      <c r="K77" s="46"/>
      <c r="L77" s="23"/>
      <c r="M77" s="45"/>
      <c r="N77" s="46"/>
    </row>
    <row r="78" spans="1:14" ht="9.9499999999999993" customHeight="1" x14ac:dyDescent="0.2">
      <c r="A78" s="61"/>
      <c r="B78" s="24"/>
      <c r="C78" s="25"/>
      <c r="D78" s="25"/>
      <c r="E78" s="25"/>
      <c r="F78" s="25"/>
      <c r="G78" s="26"/>
      <c r="H78" s="26"/>
      <c r="I78" s="27"/>
      <c r="J78" s="47"/>
      <c r="K78" s="48"/>
      <c r="L78" s="28"/>
      <c r="M78" s="49"/>
      <c r="N78" s="50"/>
    </row>
    <row r="79" spans="1:14" ht="9.9499999999999993" customHeight="1" x14ac:dyDescent="0.2">
      <c r="A79" s="61"/>
      <c r="B79" s="14"/>
      <c r="C79" s="15"/>
      <c r="D79" s="15"/>
      <c r="E79" s="15"/>
      <c r="F79" s="15"/>
      <c r="G79" s="16"/>
      <c r="H79" s="16"/>
      <c r="I79" s="17"/>
      <c r="J79" s="47"/>
      <c r="K79" s="48"/>
      <c r="L79" s="18"/>
      <c r="M79" s="51"/>
      <c r="N79" s="52"/>
    </row>
    <row r="80" spans="1:14" ht="9.9499999999999993" customHeight="1" x14ac:dyDescent="0.2">
      <c r="A80" s="61"/>
      <c r="B80" s="29"/>
      <c r="C80" s="30"/>
      <c r="D80" s="30"/>
      <c r="E80" s="30"/>
      <c r="F80" s="30"/>
      <c r="G80" s="31"/>
      <c r="H80" s="31"/>
      <c r="I80" s="32"/>
      <c r="J80" s="53"/>
      <c r="K80" s="54"/>
      <c r="L80" s="33"/>
      <c r="M80" s="53"/>
      <c r="N80" s="54"/>
    </row>
    <row r="81" spans="1:14" ht="9.9499999999999993" customHeight="1" x14ac:dyDescent="0.2">
      <c r="A81" s="61"/>
      <c r="B81" s="34"/>
      <c r="C81" s="35"/>
      <c r="D81" s="35"/>
      <c r="E81" s="35"/>
      <c r="F81" s="35"/>
      <c r="G81" s="36"/>
      <c r="H81" s="36"/>
      <c r="I81" s="37"/>
      <c r="J81" s="47"/>
      <c r="K81" s="48"/>
      <c r="L81" s="38"/>
      <c r="M81" s="47"/>
      <c r="N81" s="48"/>
    </row>
    <row r="82" spans="1:14" ht="9.9499999999999993" customHeight="1" x14ac:dyDescent="0.2">
      <c r="A82" s="61"/>
      <c r="B82" s="14"/>
      <c r="C82" s="15"/>
      <c r="D82" s="15"/>
      <c r="E82" s="15"/>
      <c r="F82" s="15"/>
      <c r="G82" s="16"/>
      <c r="H82" s="16"/>
      <c r="I82" s="17"/>
      <c r="J82" s="47"/>
      <c r="K82" s="48"/>
      <c r="L82" s="18"/>
      <c r="M82" s="51"/>
      <c r="N82" s="52"/>
    </row>
    <row r="83" spans="1:14" ht="9.9499999999999993" customHeight="1" x14ac:dyDescent="0.2">
      <c r="A83" s="61"/>
      <c r="B83" s="19"/>
      <c r="C83" s="20"/>
      <c r="D83" s="20"/>
      <c r="E83" s="20"/>
      <c r="F83" s="20"/>
      <c r="G83" s="21"/>
      <c r="H83" s="21"/>
      <c r="I83" s="22"/>
      <c r="J83" s="45"/>
      <c r="K83" s="46"/>
      <c r="L83" s="23"/>
      <c r="M83" s="45"/>
      <c r="N83" s="46"/>
    </row>
    <row r="84" spans="1:14" ht="9.9499999999999993" customHeight="1" x14ac:dyDescent="0.2">
      <c r="A84" s="61"/>
      <c r="B84" s="24"/>
      <c r="C84" s="25"/>
      <c r="D84" s="25"/>
      <c r="E84" s="25"/>
      <c r="F84" s="25"/>
      <c r="G84" s="26"/>
      <c r="H84" s="26"/>
      <c r="I84" s="27"/>
      <c r="J84" s="47"/>
      <c r="K84" s="48"/>
      <c r="L84" s="28"/>
      <c r="M84" s="49"/>
      <c r="N84" s="50"/>
    </row>
    <row r="85" spans="1:14" ht="9.9499999999999993" customHeight="1" x14ac:dyDescent="0.2">
      <c r="A85" s="61"/>
      <c r="B85" s="14"/>
      <c r="C85" s="15"/>
      <c r="D85" s="15"/>
      <c r="E85" s="15"/>
      <c r="F85" s="15"/>
      <c r="G85" s="16"/>
      <c r="H85" s="16"/>
      <c r="I85" s="17"/>
      <c r="J85" s="47"/>
      <c r="K85" s="48"/>
      <c r="L85" s="18"/>
      <c r="M85" s="51"/>
      <c r="N85" s="52"/>
    </row>
    <row r="86" spans="1:14" ht="9.9499999999999993" customHeight="1" thickBot="1" x14ac:dyDescent="0.25">
      <c r="A86" s="62"/>
      <c r="B86" s="39"/>
      <c r="C86" s="40"/>
      <c r="D86" s="40"/>
      <c r="E86" s="40"/>
      <c r="F86" s="40"/>
      <c r="G86" s="41"/>
      <c r="H86" s="41"/>
      <c r="I86" s="42"/>
      <c r="J86" s="66"/>
      <c r="K86" s="67"/>
      <c r="L86" s="43"/>
      <c r="M86" s="66"/>
      <c r="N86" s="67"/>
    </row>
    <row r="87" spans="1:14" ht="9.9499999999999993" customHeight="1" x14ac:dyDescent="0.2">
      <c r="A87" s="60">
        <f>IF(VLOOKUP($O$1,PeriodeExt,2,FALSE)+7=28,4,VLOOKUP($O$1,PeriodeExt,2,FALSE)+7)</f>
        <v>4</v>
      </c>
      <c r="B87" s="8"/>
      <c r="C87" s="9"/>
      <c r="D87" s="9"/>
      <c r="E87" s="9"/>
      <c r="F87" s="9"/>
      <c r="G87" s="10"/>
      <c r="H87" s="10"/>
      <c r="I87" s="11"/>
      <c r="J87" s="63"/>
      <c r="K87" s="64"/>
      <c r="L87" s="12"/>
      <c r="M87" s="65"/>
      <c r="N87" s="64"/>
    </row>
    <row r="88" spans="1:14" ht="9.9499999999999993" customHeight="1" x14ac:dyDescent="0.2">
      <c r="A88" s="61"/>
      <c r="B88" s="14"/>
      <c r="C88" s="15"/>
      <c r="D88" s="15"/>
      <c r="E88" s="15"/>
      <c r="F88" s="15"/>
      <c r="G88" s="16"/>
      <c r="H88" s="16"/>
      <c r="I88" s="17"/>
      <c r="J88" s="47"/>
      <c r="K88" s="48"/>
      <c r="L88" s="18"/>
      <c r="M88" s="51"/>
      <c r="N88" s="52"/>
    </row>
    <row r="89" spans="1:14" ht="9.9499999999999993" customHeight="1" x14ac:dyDescent="0.2">
      <c r="A89" s="61"/>
      <c r="B89" s="19"/>
      <c r="C89" s="20"/>
      <c r="D89" s="20"/>
      <c r="E89" s="20"/>
      <c r="F89" s="20"/>
      <c r="G89" s="21"/>
      <c r="H89" s="21"/>
      <c r="I89" s="22"/>
      <c r="J89" s="45"/>
      <c r="K89" s="46"/>
      <c r="L89" s="23"/>
      <c r="M89" s="45"/>
      <c r="N89" s="46"/>
    </row>
    <row r="90" spans="1:14" ht="9.9499999999999993" customHeight="1" x14ac:dyDescent="0.2">
      <c r="A90" s="61"/>
      <c r="B90" s="24"/>
      <c r="C90" s="25"/>
      <c r="D90" s="25"/>
      <c r="E90" s="25"/>
      <c r="F90" s="25"/>
      <c r="G90" s="26"/>
      <c r="H90" s="26"/>
      <c r="I90" s="27"/>
      <c r="J90" s="47"/>
      <c r="K90" s="48"/>
      <c r="L90" s="28"/>
      <c r="M90" s="49"/>
      <c r="N90" s="50"/>
    </row>
    <row r="91" spans="1:14" ht="9.9499999999999993" customHeight="1" x14ac:dyDescent="0.2">
      <c r="A91" s="61"/>
      <c r="B91" s="14"/>
      <c r="C91" s="15"/>
      <c r="D91" s="15"/>
      <c r="E91" s="15"/>
      <c r="F91" s="15"/>
      <c r="G91" s="16"/>
      <c r="H91" s="16"/>
      <c r="I91" s="17"/>
      <c r="J91" s="47"/>
      <c r="K91" s="48"/>
      <c r="L91" s="18"/>
      <c r="M91" s="51"/>
      <c r="N91" s="52"/>
    </row>
    <row r="92" spans="1:14" ht="9.9499999999999993" customHeight="1" x14ac:dyDescent="0.2">
      <c r="A92" s="61"/>
      <c r="B92" s="29"/>
      <c r="C92" s="30"/>
      <c r="D92" s="30"/>
      <c r="E92" s="30"/>
      <c r="F92" s="30"/>
      <c r="G92" s="31"/>
      <c r="H92" s="31"/>
      <c r="I92" s="32"/>
      <c r="J92" s="53"/>
      <c r="K92" s="54"/>
      <c r="L92" s="33"/>
      <c r="M92" s="53"/>
      <c r="N92" s="54"/>
    </row>
    <row r="93" spans="1:14" ht="9.9499999999999993" customHeight="1" x14ac:dyDescent="0.2">
      <c r="A93" s="61"/>
      <c r="B93" s="34"/>
      <c r="C93" s="35"/>
      <c r="D93" s="35"/>
      <c r="E93" s="35"/>
      <c r="F93" s="35"/>
      <c r="G93" s="36"/>
      <c r="H93" s="36"/>
      <c r="I93" s="37"/>
      <c r="J93" s="47"/>
      <c r="K93" s="48"/>
      <c r="L93" s="38"/>
      <c r="M93" s="47"/>
      <c r="N93" s="48"/>
    </row>
    <row r="94" spans="1:14" ht="9.9499999999999993" customHeight="1" x14ac:dyDescent="0.2">
      <c r="A94" s="61"/>
      <c r="B94" s="14"/>
      <c r="C94" s="15"/>
      <c r="D94" s="15"/>
      <c r="E94" s="15"/>
      <c r="F94" s="15"/>
      <c r="G94" s="16"/>
      <c r="H94" s="16"/>
      <c r="I94" s="17"/>
      <c r="J94" s="47"/>
      <c r="K94" s="48"/>
      <c r="L94" s="18"/>
      <c r="M94" s="51"/>
      <c r="N94" s="52"/>
    </row>
    <row r="95" spans="1:14" ht="9.9499999999999993" customHeight="1" x14ac:dyDescent="0.2">
      <c r="A95" s="61"/>
      <c r="B95" s="19"/>
      <c r="C95" s="20"/>
      <c r="D95" s="20"/>
      <c r="E95" s="20"/>
      <c r="F95" s="20"/>
      <c r="G95" s="21"/>
      <c r="H95" s="21"/>
      <c r="I95" s="22"/>
      <c r="J95" s="45"/>
      <c r="K95" s="46"/>
      <c r="L95" s="23"/>
      <c r="M95" s="45"/>
      <c r="N95" s="46"/>
    </row>
    <row r="96" spans="1:14" ht="9.9499999999999993" customHeight="1" x14ac:dyDescent="0.2">
      <c r="A96" s="61"/>
      <c r="B96" s="24"/>
      <c r="C96" s="25"/>
      <c r="D96" s="25"/>
      <c r="E96" s="25"/>
      <c r="F96" s="25"/>
      <c r="G96" s="26"/>
      <c r="H96" s="26"/>
      <c r="I96" s="27"/>
      <c r="J96" s="47"/>
      <c r="K96" s="48"/>
      <c r="L96" s="28"/>
      <c r="M96" s="49"/>
      <c r="N96" s="50"/>
    </row>
    <row r="97" spans="1:14" ht="9.9499999999999993" customHeight="1" x14ac:dyDescent="0.2">
      <c r="A97" s="61"/>
      <c r="B97" s="14"/>
      <c r="C97" s="15"/>
      <c r="D97" s="15"/>
      <c r="E97" s="15"/>
      <c r="F97" s="15"/>
      <c r="G97" s="16"/>
      <c r="H97" s="16"/>
      <c r="I97" s="17"/>
      <c r="J97" s="47"/>
      <c r="K97" s="48"/>
      <c r="L97" s="18"/>
      <c r="M97" s="51"/>
      <c r="N97" s="52"/>
    </row>
    <row r="98" spans="1:14" ht="9.9499999999999993" customHeight="1" thickBot="1" x14ac:dyDescent="0.25">
      <c r="A98" s="62"/>
      <c r="B98" s="39"/>
      <c r="C98" s="40"/>
      <c r="D98" s="40"/>
      <c r="E98" s="40"/>
      <c r="F98" s="40"/>
      <c r="G98" s="41"/>
      <c r="H98" s="41"/>
      <c r="I98" s="42"/>
      <c r="J98" s="66"/>
      <c r="K98" s="67"/>
      <c r="L98" s="43"/>
      <c r="M98" s="66"/>
      <c r="N98" s="67"/>
    </row>
    <row r="99" spans="1:14" ht="14.25" customHeight="1" x14ac:dyDescent="0.25">
      <c r="A99" s="44">
        <f>IF(VLOOKUP($O$1,PeriodeExt,2,FALSE)+8=29,5,VLOOKUP($O$1,PeriodeExt,2,FALSE)+8)</f>
        <v>5</v>
      </c>
    </row>
  </sheetData>
  <mergeCells count="204">
    <mergeCell ref="M94:N94"/>
    <mergeCell ref="A87:A98"/>
    <mergeCell ref="J87:K87"/>
    <mergeCell ref="M87:N87"/>
    <mergeCell ref="J88:K88"/>
    <mergeCell ref="M88:N88"/>
    <mergeCell ref="J89:K89"/>
    <mergeCell ref="M89:N89"/>
    <mergeCell ref="J90:K90"/>
    <mergeCell ref="M90:N90"/>
    <mergeCell ref="J91:K91"/>
    <mergeCell ref="J98:K98"/>
    <mergeCell ref="M98:N98"/>
    <mergeCell ref="J95:K95"/>
    <mergeCell ref="M95:N95"/>
    <mergeCell ref="J96:K96"/>
    <mergeCell ref="M96:N96"/>
    <mergeCell ref="J97:K97"/>
    <mergeCell ref="M97:N97"/>
    <mergeCell ref="M91:N91"/>
    <mergeCell ref="J92:K92"/>
    <mergeCell ref="M92:N92"/>
    <mergeCell ref="J93:K93"/>
    <mergeCell ref="M93:N93"/>
    <mergeCell ref="J94:K94"/>
    <mergeCell ref="J84:K84"/>
    <mergeCell ref="M84:N84"/>
    <mergeCell ref="J85:K85"/>
    <mergeCell ref="M85:N85"/>
    <mergeCell ref="J86:K86"/>
    <mergeCell ref="M86:N86"/>
    <mergeCell ref="J81:K81"/>
    <mergeCell ref="M81:N81"/>
    <mergeCell ref="J82:K82"/>
    <mergeCell ref="M82:N82"/>
    <mergeCell ref="J83:K83"/>
    <mergeCell ref="M83:N83"/>
    <mergeCell ref="A75:A86"/>
    <mergeCell ref="J75:K75"/>
    <mergeCell ref="M75:N75"/>
    <mergeCell ref="J76:K76"/>
    <mergeCell ref="M76:N76"/>
    <mergeCell ref="J77:K77"/>
    <mergeCell ref="J70:K70"/>
    <mergeCell ref="M70:N70"/>
    <mergeCell ref="J71:K71"/>
    <mergeCell ref="M71:N71"/>
    <mergeCell ref="J72:K72"/>
    <mergeCell ref="M72:N72"/>
    <mergeCell ref="A63:A74"/>
    <mergeCell ref="M77:N77"/>
    <mergeCell ref="J78:K78"/>
    <mergeCell ref="M78:N78"/>
    <mergeCell ref="J79:K79"/>
    <mergeCell ref="M79:N79"/>
    <mergeCell ref="J80:K80"/>
    <mergeCell ref="M80:N80"/>
    <mergeCell ref="J73:K73"/>
    <mergeCell ref="M73:N73"/>
    <mergeCell ref="J74:K74"/>
    <mergeCell ref="M74:N74"/>
    <mergeCell ref="M66:N66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65:K65"/>
    <mergeCell ref="M65:N65"/>
    <mergeCell ref="J66:K66"/>
    <mergeCell ref="A51:A62"/>
    <mergeCell ref="J51:K51"/>
    <mergeCell ref="M51:N51"/>
    <mergeCell ref="J52:K52"/>
    <mergeCell ref="M52:N52"/>
    <mergeCell ref="J53:K53"/>
    <mergeCell ref="M53:N53"/>
    <mergeCell ref="J54:K54"/>
    <mergeCell ref="M54:N54"/>
    <mergeCell ref="J55:K55"/>
    <mergeCell ref="J59:K59"/>
    <mergeCell ref="M59:N59"/>
    <mergeCell ref="J60:K60"/>
    <mergeCell ref="M60:N60"/>
    <mergeCell ref="J61:K61"/>
    <mergeCell ref="M61:N61"/>
    <mergeCell ref="M55:N55"/>
    <mergeCell ref="J56:K56"/>
    <mergeCell ref="M56:N56"/>
    <mergeCell ref="J57:K57"/>
    <mergeCell ref="M57:N57"/>
    <mergeCell ref="J58:K58"/>
    <mergeCell ref="M58:N58"/>
    <mergeCell ref="J48:K48"/>
    <mergeCell ref="M48:N48"/>
    <mergeCell ref="J49:K49"/>
    <mergeCell ref="M49:N49"/>
    <mergeCell ref="J50:K50"/>
    <mergeCell ref="M50:N50"/>
    <mergeCell ref="J45:K45"/>
    <mergeCell ref="M45:N45"/>
    <mergeCell ref="J46:K46"/>
    <mergeCell ref="M46:N46"/>
    <mergeCell ref="J47:K47"/>
    <mergeCell ref="M47:N47"/>
    <mergeCell ref="A39:A50"/>
    <mergeCell ref="J39:K39"/>
    <mergeCell ref="M39:N39"/>
    <mergeCell ref="J40:K40"/>
    <mergeCell ref="M40:N40"/>
    <mergeCell ref="J41:K41"/>
    <mergeCell ref="J34:K34"/>
    <mergeCell ref="M34:N34"/>
    <mergeCell ref="J35:K35"/>
    <mergeCell ref="M35:N35"/>
    <mergeCell ref="J36:K36"/>
    <mergeCell ref="M36:N36"/>
    <mergeCell ref="A27:A38"/>
    <mergeCell ref="M41:N41"/>
    <mergeCell ref="J42:K42"/>
    <mergeCell ref="M42:N42"/>
    <mergeCell ref="J43:K43"/>
    <mergeCell ref="M43:N43"/>
    <mergeCell ref="J44:K44"/>
    <mergeCell ref="M44:N44"/>
    <mergeCell ref="J37:K37"/>
    <mergeCell ref="M37:N37"/>
    <mergeCell ref="J38:K38"/>
    <mergeCell ref="M38:N38"/>
    <mergeCell ref="J33:K33"/>
    <mergeCell ref="M33:N33"/>
    <mergeCell ref="J26:K26"/>
    <mergeCell ref="M26:N26"/>
    <mergeCell ref="J27:K27"/>
    <mergeCell ref="M27:N27"/>
    <mergeCell ref="J28:K28"/>
    <mergeCell ref="M28:N28"/>
    <mergeCell ref="J29:K29"/>
    <mergeCell ref="M29:N29"/>
    <mergeCell ref="J30:K30"/>
    <mergeCell ref="J21:K21"/>
    <mergeCell ref="M21:N21"/>
    <mergeCell ref="J22:K22"/>
    <mergeCell ref="M22:N22"/>
    <mergeCell ref="M30:N30"/>
    <mergeCell ref="J31:K31"/>
    <mergeCell ref="M31:N31"/>
    <mergeCell ref="J32:K32"/>
    <mergeCell ref="M32:N32"/>
    <mergeCell ref="M9:N9"/>
    <mergeCell ref="J10:K10"/>
    <mergeCell ref="M10:N10"/>
    <mergeCell ref="J11:K11"/>
    <mergeCell ref="M11:N11"/>
    <mergeCell ref="A15:A26"/>
    <mergeCell ref="J15:K15"/>
    <mergeCell ref="M15:N15"/>
    <mergeCell ref="J16:K16"/>
    <mergeCell ref="M16:N16"/>
    <mergeCell ref="J17:K17"/>
    <mergeCell ref="M17:N17"/>
    <mergeCell ref="J18:K18"/>
    <mergeCell ref="M18:N18"/>
    <mergeCell ref="J19:K19"/>
    <mergeCell ref="J23:K23"/>
    <mergeCell ref="M23:N23"/>
    <mergeCell ref="J24:K24"/>
    <mergeCell ref="M24:N24"/>
    <mergeCell ref="J25:K25"/>
    <mergeCell ref="M25:N25"/>
    <mergeCell ref="M19:N19"/>
    <mergeCell ref="J20:K20"/>
    <mergeCell ref="M20:N20"/>
    <mergeCell ref="M5:N5"/>
    <mergeCell ref="J6:K6"/>
    <mergeCell ref="M6:N6"/>
    <mergeCell ref="J7:K7"/>
    <mergeCell ref="M7:N7"/>
    <mergeCell ref="J8:K8"/>
    <mergeCell ref="M8:N8"/>
    <mergeCell ref="A1:D1"/>
    <mergeCell ref="E1:I1"/>
    <mergeCell ref="J2:K2"/>
    <mergeCell ref="M2:N2"/>
    <mergeCell ref="A3:A14"/>
    <mergeCell ref="J3:K3"/>
    <mergeCell ref="M3:N3"/>
    <mergeCell ref="J4:K4"/>
    <mergeCell ref="M4:N4"/>
    <mergeCell ref="J5:K5"/>
    <mergeCell ref="J12:K12"/>
    <mergeCell ref="M12:N12"/>
    <mergeCell ref="J13:K13"/>
    <mergeCell ref="M13:N13"/>
    <mergeCell ref="J14:K14"/>
    <mergeCell ref="M14:N14"/>
    <mergeCell ref="J9:K9"/>
  </mergeCells>
  <dataValidations count="2">
    <dataValidation type="list" allowBlank="1" showInputMessage="1" showErrorMessage="1" sqref="O1">
      <formula1>periode</formula1>
    </dataValidation>
    <dataValidation type="list" allowBlank="1" showInputMessage="1" showErrorMessage="1" sqref="E1:I1">
      <formula1>Machine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portrait" r:id="rId1"/>
  <headerFooter>
    <oddHeader>&amp;L&amp;G&amp;C&amp;"Arial,Gras italique"&amp;14&amp;UFeuille de suivi de production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8"/>
  </sheetPr>
  <dimension ref="A1:K8"/>
  <sheetViews>
    <sheetView topLeftCell="F1" workbookViewId="0">
      <selection activeCell="L27" sqref="L27"/>
    </sheetView>
  </sheetViews>
  <sheetFormatPr baseColWidth="10" defaultRowHeight="14.25" x14ac:dyDescent="0.2"/>
  <cols>
    <col min="1" max="1" width="12.375" hidden="1" customWidth="1"/>
    <col min="2" max="2" width="0" hidden="1" customWidth="1"/>
    <col min="3" max="3" width="11.75" hidden="1" customWidth="1"/>
    <col min="4" max="5" width="22.375" hidden="1" customWidth="1"/>
    <col min="7" max="7" width="8.5" customWidth="1"/>
    <col min="8" max="8" width="10" customWidth="1"/>
    <col min="10" max="10" width="17" customWidth="1"/>
    <col min="11" max="11" width="10" customWidth="1"/>
    <col min="12" max="12" width="11.875" bestFit="1" customWidth="1"/>
  </cols>
  <sheetData>
    <row r="1" spans="1:11" x14ac:dyDescent="0.2">
      <c r="A1" t="s">
        <v>0</v>
      </c>
      <c r="B1" t="s">
        <v>17</v>
      </c>
      <c r="C1" t="s">
        <v>18</v>
      </c>
      <c r="D1" t="s">
        <v>19</v>
      </c>
      <c r="E1" t="s">
        <v>20</v>
      </c>
    </row>
    <row r="2" spans="1:11" x14ac:dyDescent="0.2">
      <c r="A2" t="s">
        <v>1</v>
      </c>
      <c r="B2" t="s">
        <v>21</v>
      </c>
      <c r="C2">
        <v>10</v>
      </c>
      <c r="D2">
        <v>5</v>
      </c>
      <c r="E2">
        <v>6</v>
      </c>
      <c r="G2"/>
      <c r="H2"/>
      <c r="J2"/>
      <c r="K2"/>
    </row>
    <row r="3" spans="1:11" x14ac:dyDescent="0.2">
      <c r="A3" t="s">
        <v>22</v>
      </c>
      <c r="B3" t="s">
        <v>23</v>
      </c>
      <c r="C3">
        <v>10</v>
      </c>
      <c r="D3">
        <v>5</v>
      </c>
      <c r="E3">
        <v>6</v>
      </c>
      <c r="G3"/>
      <c r="H3"/>
      <c r="J3"/>
      <c r="K3"/>
    </row>
    <row r="4" spans="1:11" x14ac:dyDescent="0.2">
      <c r="A4" t="s">
        <v>25</v>
      </c>
      <c r="B4" t="s">
        <v>25</v>
      </c>
      <c r="C4">
        <v>10</v>
      </c>
      <c r="D4">
        <v>5</v>
      </c>
      <c r="E4">
        <v>6</v>
      </c>
      <c r="G4"/>
      <c r="H4"/>
      <c r="J4"/>
      <c r="K4"/>
    </row>
    <row r="5" spans="1:11" x14ac:dyDescent="0.2">
      <c r="A5" t="s">
        <v>26</v>
      </c>
      <c r="B5" t="s">
        <v>26</v>
      </c>
      <c r="C5">
        <v>10</v>
      </c>
      <c r="D5">
        <v>5</v>
      </c>
      <c r="E5">
        <v>6</v>
      </c>
      <c r="G5"/>
      <c r="H5"/>
    </row>
    <row r="6" spans="1:11" x14ac:dyDescent="0.2">
      <c r="A6" t="s">
        <v>28</v>
      </c>
      <c r="B6" t="s">
        <v>28</v>
      </c>
      <c r="C6">
        <v>10</v>
      </c>
      <c r="D6">
        <v>5</v>
      </c>
      <c r="E6">
        <v>6</v>
      </c>
      <c r="G6"/>
      <c r="H6"/>
    </row>
    <row r="7" spans="1:11" x14ac:dyDescent="0.2">
      <c r="A7" t="s">
        <v>29</v>
      </c>
      <c r="B7" t="s">
        <v>30</v>
      </c>
      <c r="C7">
        <v>10</v>
      </c>
      <c r="D7">
        <v>5</v>
      </c>
      <c r="E7">
        <v>6</v>
      </c>
    </row>
    <row r="8" spans="1:11" x14ac:dyDescent="0.2">
      <c r="A8" t="s">
        <v>31</v>
      </c>
      <c r="B8" t="s">
        <v>30</v>
      </c>
      <c r="C8">
        <v>10</v>
      </c>
      <c r="D8">
        <v>5</v>
      </c>
      <c r="E8">
        <v>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6</vt:i4>
      </vt:variant>
    </vt:vector>
  </HeadingPairs>
  <TitlesOfParts>
    <vt:vector size="8" baseType="lpstr">
      <vt:lpstr>Feuille suivi</vt:lpstr>
      <vt:lpstr>Données</vt:lpstr>
      <vt:lpstr>groupe_machine</vt:lpstr>
      <vt:lpstr>Machine</vt:lpstr>
      <vt:lpstr>MachineExt</vt:lpstr>
      <vt:lpstr>periode</vt:lpstr>
      <vt:lpstr>PeriodeExt</vt:lpstr>
      <vt:lpstr>'Feuille suivi'!Zone_d_impression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2014-12-17T09:04:26Z</dcterms:created>
  <dcterms:modified xsi:type="dcterms:W3CDTF">2014-12-17T09:11:47Z</dcterms:modified>
</cp:coreProperties>
</file>