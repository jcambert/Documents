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20" windowWidth="17580" windowHeight="8070" tabRatio="457"/>
  </bookViews>
  <sheets>
    <sheet name="Accueil" sheetId="8" r:id="rId1"/>
    <sheet name="Taux de Chute" sheetId="1" state="hidden" r:id="rId2"/>
    <sheet name="Feuil2" sheetId="2" state="hidden" r:id="rId3"/>
    <sheet name="Tx Chute Disque" sheetId="3" state="hidden" r:id="rId4"/>
    <sheet name="Tx Chute Plaque" sheetId="4" state="hidden" r:id="rId5"/>
    <sheet name="Tx Chute Triangle Rectangle" sheetId="5" state="hidden" r:id="rId6"/>
    <sheet name="Tx Chute Triangle Isocele" sheetId="6" state="hidden" r:id="rId7"/>
  </sheets>
  <definedNames>
    <definedName name="_xlnm.Print_Area" localSheetId="3">'Tx Chute Disque'!$A$1:$L$32</definedName>
    <definedName name="_xlnm.Print_Area" localSheetId="4">'Tx Chute Plaque'!$A$1:$L$32</definedName>
    <definedName name="_xlnm.Print_Area" localSheetId="6">'Tx Chute Triangle Isocele'!$A$1:$L$32</definedName>
    <definedName name="_xlnm.Print_Area" localSheetId="5">'Tx Chute Triangle Rectangle'!$A$1:$L$33</definedName>
  </definedNames>
  <calcPr calcId="145621"/>
</workbook>
</file>

<file path=xl/calcChain.xml><?xml version="1.0" encoding="utf-8"?>
<calcChain xmlns="http://schemas.openxmlformats.org/spreadsheetml/2006/main">
  <c r="U8" i="3" l="1"/>
  <c r="X10" i="3" s="1"/>
  <c r="T8" i="3"/>
  <c r="U8" i="4" l="1"/>
  <c r="X10" i="4" s="1"/>
  <c r="T8" i="4"/>
  <c r="V37" i="4" l="1"/>
  <c r="X8" i="6" l="1"/>
  <c r="U8" i="6"/>
  <c r="T8" i="6"/>
  <c r="T10" i="6" s="1"/>
  <c r="Q8" i="6"/>
  <c r="X8" i="5"/>
  <c r="U8" i="5"/>
  <c r="T8" i="5"/>
  <c r="T10" i="5" s="1"/>
  <c r="Q8" i="5"/>
  <c r="X8" i="4"/>
  <c r="U10" i="4"/>
  <c r="T10" i="4"/>
  <c r="R8" i="4"/>
  <c r="R9" i="4" s="1"/>
  <c r="Q8" i="4"/>
  <c r="I10" i="3"/>
  <c r="Q10" i="3" s="1"/>
  <c r="P10" i="3" s="1"/>
  <c r="X8" i="3"/>
  <c r="U10" i="3"/>
  <c r="R8" i="3"/>
  <c r="Q8" i="3"/>
  <c r="U10" i="6" l="1"/>
  <c r="V10" i="6" s="1"/>
  <c r="X10" i="6"/>
  <c r="U10" i="5"/>
  <c r="V10" i="5" s="1"/>
  <c r="X10" i="5"/>
  <c r="H8" i="4"/>
  <c r="E10" i="4" s="1"/>
  <c r="S8" i="3"/>
  <c r="S8" i="4"/>
  <c r="V8" i="3"/>
  <c r="W8" i="6"/>
  <c r="Y8" i="6" s="1"/>
  <c r="AB8" i="6" s="1"/>
  <c r="V8" i="6"/>
  <c r="H8" i="6"/>
  <c r="H8" i="5"/>
  <c r="G8" i="5" s="1"/>
  <c r="V8" i="5"/>
  <c r="W8" i="5"/>
  <c r="Y8" i="5" s="1"/>
  <c r="W8" i="4"/>
  <c r="Y8" i="4" s="1"/>
  <c r="V10" i="4"/>
  <c r="V8" i="4"/>
  <c r="T10" i="3"/>
  <c r="V10" i="3" s="1"/>
  <c r="W8" i="3"/>
  <c r="Y8" i="3" s="1"/>
  <c r="H8" i="3"/>
  <c r="I9" i="1"/>
  <c r="B33" i="1"/>
  <c r="W10" i="5" l="1"/>
  <c r="B6" i="5" s="1"/>
  <c r="W10" i="4"/>
  <c r="B6" i="4" s="1"/>
  <c r="G8" i="4"/>
  <c r="AB8" i="4"/>
  <c r="A10" i="3"/>
  <c r="A6" i="3"/>
  <c r="W10" i="3"/>
  <c r="B10" i="3" s="1"/>
  <c r="G8" i="6"/>
  <c r="E10" i="6"/>
  <c r="W10" i="6"/>
  <c r="B6" i="6" s="1"/>
  <c r="A6" i="6"/>
  <c r="AA8" i="6"/>
  <c r="E10" i="5"/>
  <c r="A6" i="5"/>
  <c r="AA8" i="4"/>
  <c r="A10" i="4"/>
  <c r="A6" i="4"/>
  <c r="E10" i="3"/>
  <c r="G8" i="3"/>
  <c r="U28" i="1"/>
  <c r="U30" i="1" s="1"/>
  <c r="U21" i="1"/>
  <c r="U23" i="1" s="1"/>
  <c r="U7" i="1"/>
  <c r="U9" i="1" s="1"/>
  <c r="U14" i="1"/>
  <c r="U16" i="1" s="1"/>
  <c r="T28" i="1"/>
  <c r="T30" i="1" s="1"/>
  <c r="B10" i="4" l="1"/>
  <c r="B6" i="3"/>
  <c r="V30" i="1"/>
  <c r="W28" i="1"/>
  <c r="H21" i="1"/>
  <c r="E23" i="1" s="1"/>
  <c r="T21" i="1"/>
  <c r="T14" i="1"/>
  <c r="H7" i="1"/>
  <c r="T7" i="1"/>
  <c r="Q9" i="1"/>
  <c r="P9" i="1" s="1"/>
  <c r="Q28" i="1"/>
  <c r="X28" i="1"/>
  <c r="X21" i="1"/>
  <c r="X14" i="1"/>
  <c r="X7" i="1"/>
  <c r="Q21" i="1"/>
  <c r="W21" i="1" l="1"/>
  <c r="Y21" i="1" s="1"/>
  <c r="T23" i="1"/>
  <c r="V23" i="1" s="1"/>
  <c r="W7" i="1"/>
  <c r="Y7" i="1" s="1"/>
  <c r="T9" i="1"/>
  <c r="V9" i="1" s="1"/>
  <c r="G7" i="1"/>
  <c r="E9" i="1"/>
  <c r="W14" i="1"/>
  <c r="T16" i="1"/>
  <c r="V16" i="1" s="1"/>
  <c r="Y14" i="1"/>
  <c r="Y28" i="1"/>
  <c r="Q14" i="1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D37" i="2"/>
  <c r="E37" i="2"/>
  <c r="F37" i="2"/>
  <c r="G37" i="2"/>
  <c r="H37" i="2"/>
  <c r="I37" i="2"/>
  <c r="J37" i="2"/>
  <c r="K37" i="2"/>
  <c r="L37" i="2"/>
  <c r="M37" i="2"/>
  <c r="N37" i="2"/>
  <c r="B38" i="2"/>
  <c r="C3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7" i="2"/>
  <c r="D6" i="2"/>
  <c r="E6" i="2"/>
  <c r="F6" i="2"/>
  <c r="G6" i="2"/>
  <c r="H6" i="2"/>
  <c r="I6" i="2"/>
  <c r="J6" i="2"/>
  <c r="K6" i="2"/>
  <c r="L6" i="2"/>
  <c r="M6" i="2"/>
  <c r="N6" i="2"/>
  <c r="C6" i="2"/>
  <c r="C2" i="2"/>
  <c r="D2" i="2"/>
  <c r="E2" i="2"/>
  <c r="F2" i="2"/>
  <c r="G2" i="2"/>
  <c r="H2" i="2"/>
  <c r="I2" i="2"/>
  <c r="J2" i="2"/>
  <c r="K2" i="2"/>
  <c r="L2" i="2"/>
  <c r="M2" i="2"/>
  <c r="N2" i="2"/>
  <c r="R14" i="1"/>
  <c r="R15" i="1" s="1"/>
  <c r="R7" i="1"/>
  <c r="Q7" i="1"/>
  <c r="AB28" i="1" l="1"/>
  <c r="S14" i="1"/>
  <c r="V7" i="1"/>
  <c r="W9" i="1" s="1"/>
  <c r="V21" i="1"/>
  <c r="W23" i="1" s="1"/>
  <c r="B19" i="1" s="1"/>
  <c r="S7" i="1"/>
  <c r="B5" i="1" l="1"/>
  <c r="B9" i="1"/>
  <c r="A5" i="1"/>
  <c r="A9" i="1"/>
  <c r="A19" i="1"/>
  <c r="AB14" i="1"/>
  <c r="G21" i="1" l="1"/>
  <c r="H28" i="1"/>
  <c r="V28" i="1"/>
  <c r="W30" i="1" s="1"/>
  <c r="B26" i="1" s="1"/>
  <c r="G28" i="1" l="1"/>
  <c r="E30" i="1"/>
  <c r="AA28" i="1"/>
  <c r="A26" i="1"/>
  <c r="V14" i="1"/>
  <c r="A16" i="1" s="1"/>
  <c r="H14" i="1"/>
  <c r="G14" i="1" l="1"/>
  <c r="E16" i="1"/>
  <c r="W16" i="1"/>
  <c r="AA14" i="1"/>
  <c r="A12" i="1"/>
  <c r="B12" i="1" l="1"/>
  <c r="B16" i="1"/>
</calcChain>
</file>

<file path=xl/comments1.xml><?xml version="1.0" encoding="utf-8"?>
<comments xmlns="http://schemas.openxmlformats.org/spreadsheetml/2006/main">
  <authors>
    <author>Jean-Christophe Ambert</author>
  </authors>
  <commentList>
    <comment ref="E7" authorId="0">
      <text>
        <r>
          <rPr>
            <b/>
            <sz val="8"/>
            <color indexed="81"/>
            <rFont val="Tahoma"/>
            <family val="2"/>
          </rPr>
          <t>Longueur du format de découpe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Largeur du format de découpe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7" authorId="0">
      <text>
        <r>
          <rPr>
            <b/>
            <sz val="8"/>
            <color indexed="81"/>
            <rFont val="Tahoma"/>
            <family val="2"/>
          </rPr>
          <t>Diamètre exterieur du disque</t>
        </r>
      </text>
    </comment>
    <comment ref="J7" authorId="0">
      <text>
        <r>
          <rPr>
            <b/>
            <sz val="8"/>
            <color indexed="81"/>
            <rFont val="Tahoma"/>
            <family val="2"/>
          </rPr>
          <t>Diamètre interieur de la couronne</t>
        </r>
      </text>
    </comment>
    <comment ref="M7" authorId="0">
      <text>
        <r>
          <rPr>
            <b/>
            <sz val="8"/>
            <color indexed="81"/>
            <rFont val="Tahoma"/>
            <family val="2"/>
          </rPr>
          <t>Ecart bas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7" authorId="0">
      <text>
        <r>
          <rPr>
            <b/>
            <sz val="8"/>
            <color indexed="81"/>
            <rFont val="Tahoma"/>
            <family val="2"/>
          </rPr>
          <t>Ecart gauche</t>
        </r>
      </text>
    </comment>
    <comment ref="E14" authorId="0">
      <text>
        <r>
          <rPr>
            <b/>
            <sz val="8"/>
            <color indexed="81"/>
            <rFont val="Tahoma"/>
            <family val="2"/>
          </rPr>
          <t>Longueur du format de découpe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Largeur du format de découpe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14" authorId="0">
      <text>
        <r>
          <rPr>
            <b/>
            <sz val="8"/>
            <color indexed="81"/>
            <rFont val="Tahoma"/>
            <family val="2"/>
          </rPr>
          <t>Ecart bas</t>
        </r>
      </text>
    </comment>
    <comment ref="O14" authorId="0">
      <text>
        <r>
          <rPr>
            <b/>
            <sz val="8"/>
            <color indexed="81"/>
            <rFont val="Tahoma"/>
            <family val="2"/>
          </rPr>
          <t>Ecart gauche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>
      <text>
        <r>
          <rPr>
            <b/>
            <sz val="8"/>
            <color indexed="81"/>
            <rFont val="Tahoma"/>
            <family val="2"/>
          </rPr>
          <t>Nombre de triangle rectangle (1 ou 2)</t>
        </r>
      </text>
    </comment>
    <comment ref="E21" authorId="0">
      <text>
        <r>
          <rPr>
            <b/>
            <sz val="8"/>
            <color indexed="81"/>
            <rFont val="Tahoma"/>
            <family val="2"/>
          </rPr>
          <t>Longueur du format de découpe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Largeur du format de découpe</t>
        </r>
      </text>
    </comment>
    <comment ref="I21" authorId="0">
      <text>
        <r>
          <rPr>
            <b/>
            <sz val="8"/>
            <color indexed="81"/>
            <rFont val="Tahoma"/>
            <family val="2"/>
          </rPr>
          <t>Coté du triangle rectangle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1" authorId="0">
      <text>
        <r>
          <rPr>
            <b/>
            <sz val="8"/>
            <color indexed="81"/>
            <rFont val="Tahoma"/>
            <family val="2"/>
          </rPr>
          <t>Ecart bas</t>
        </r>
      </text>
    </comment>
    <comment ref="O21" authorId="0">
      <text>
        <r>
          <rPr>
            <b/>
            <sz val="8"/>
            <color indexed="81"/>
            <rFont val="Tahoma"/>
            <family val="2"/>
          </rPr>
          <t>Ecart gauche</t>
        </r>
      </text>
    </comment>
    <comment ref="D28" authorId="0">
      <text>
        <r>
          <rPr>
            <b/>
            <sz val="8"/>
            <color indexed="81"/>
            <rFont val="Tahoma"/>
            <family val="2"/>
          </rPr>
          <t>Nombre de triangle isocèle (1 ou 2)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8" authorId="0">
      <text>
        <r>
          <rPr>
            <b/>
            <sz val="8"/>
            <color indexed="81"/>
            <rFont val="Tahoma"/>
            <family val="2"/>
          </rPr>
          <t>Longueur du format de découpe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Largeur du format de découpe</t>
        </r>
      </text>
    </comment>
    <comment ref="I28" authorId="0">
      <text>
        <r>
          <rPr>
            <b/>
            <sz val="8"/>
            <color indexed="81"/>
            <rFont val="Tahoma"/>
            <family val="2"/>
          </rPr>
          <t>Base du triangle isocèle</t>
        </r>
      </text>
    </comment>
    <comment ref="J28" authorId="0">
      <text>
        <r>
          <rPr>
            <b/>
            <sz val="8"/>
            <color indexed="81"/>
            <rFont val="Tahoma"/>
            <family val="2"/>
          </rPr>
          <t>Hauteur du triangle isocèle</t>
        </r>
      </text>
    </comment>
    <comment ref="M28" authorId="0">
      <text>
        <r>
          <rPr>
            <b/>
            <sz val="8"/>
            <color indexed="81"/>
            <rFont val="Tahoma"/>
            <family val="2"/>
          </rPr>
          <t>Ecart bas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8" authorId="0">
      <text>
        <r>
          <rPr>
            <b/>
            <sz val="8"/>
            <color indexed="81"/>
            <rFont val="Tahoma"/>
            <family val="2"/>
          </rPr>
          <t>Ecart gauche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33" authorId="0">
      <text>
        <r>
          <rPr>
            <b/>
            <sz val="8"/>
            <color indexed="81"/>
            <rFont val="Tahoma"/>
            <family val="2"/>
          </rPr>
          <t>Diamètre pour calculer le carré inscrit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<sst xmlns="http://schemas.openxmlformats.org/spreadsheetml/2006/main" count="278" uniqueCount="47">
  <si>
    <t>Droit</t>
  </si>
  <si>
    <t>Carre capable</t>
  </si>
  <si>
    <t>Longueur</t>
  </si>
  <si>
    <t>Largeur</t>
  </si>
  <si>
    <t>Ø int</t>
  </si>
  <si>
    <t>Surface</t>
  </si>
  <si>
    <t>Ext</t>
  </si>
  <si>
    <t>Int</t>
  </si>
  <si>
    <t>Total</t>
  </si>
  <si>
    <t>Ø</t>
  </si>
  <si>
    <t>Plaque</t>
  </si>
  <si>
    <t>Base</t>
  </si>
  <si>
    <t>Hauteur</t>
  </si>
  <si>
    <t>Rectangulaire</t>
  </si>
  <si>
    <t>Reactangulaire</t>
  </si>
  <si>
    <t>TAUX de Chutes</t>
  </si>
  <si>
    <t>Ø ext</t>
  </si>
  <si>
    <t>int</t>
  </si>
  <si>
    <t>Bande restante</t>
  </si>
  <si>
    <t>Ecart</t>
  </si>
  <si>
    <t>Ø Exterieur</t>
  </si>
  <si>
    <t>Ø Interieur</t>
  </si>
  <si>
    <t>Pièce</t>
  </si>
  <si>
    <t>Surface Pièce</t>
  </si>
  <si>
    <t>Carré inscrit</t>
  </si>
  <si>
    <t>Coté</t>
  </si>
  <si>
    <t>Bas</t>
  </si>
  <si>
    <t>Gauche</t>
  </si>
  <si>
    <t>Format de découpe</t>
  </si>
  <si>
    <t>Carre capable droit</t>
  </si>
  <si>
    <t>Carré Inscrit</t>
  </si>
  <si>
    <t>Avec Carré Inscrit</t>
  </si>
  <si>
    <t>Avec Piece interieure</t>
  </si>
  <si>
    <t>Piece Interieure</t>
  </si>
  <si>
    <t>Pièce Exterieure</t>
  </si>
  <si>
    <t>Bord de tole</t>
  </si>
  <si>
    <t>Bande</t>
  </si>
  <si>
    <t>Bande capable</t>
  </si>
  <si>
    <t>Largeur bande suivant Tx Eploitation</t>
  </si>
  <si>
    <t>Triangle
 Rectangle</t>
  </si>
  <si>
    <t>Triangle
 Isocèle</t>
  </si>
  <si>
    <t>Pièce inter.</t>
  </si>
  <si>
    <t>Tx Exploitation vendu</t>
  </si>
  <si>
    <t>Référence:</t>
  </si>
  <si>
    <t>Date:</t>
  </si>
  <si>
    <t>Représentation</t>
  </si>
  <si>
    <t>Commentaires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</si>
</sst>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\ _€_-;\-* #,##0\ _€_-;_-* &quot;-&quot;??\ _€_-;_-@_-"/>
    <numFmt numFmtId="165" formatCode="0.0"/>
    <numFmt numFmtId="166" formatCode="0.000"/>
    <numFmt numFmtId="167" formatCode="dd/mm/yy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</fills>
  <borders count="6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166">
    <xf numFmtId="0" fontId="0" fillId="0" borderId="0" xfId="0"/>
    <xf numFmtId="10" fontId="0" fillId="0" borderId="0" xfId="1" applyNumberFormat="1" applyFont="1"/>
    <xf numFmtId="0" fontId="2" fillId="5" borderId="9" xfId="5" applyBorder="1" applyAlignment="1" applyProtection="1">
      <alignment horizontal="center"/>
      <protection locked="0"/>
    </xf>
    <xf numFmtId="0" fontId="0" fillId="0" borderId="0" xfId="0" applyProtection="1">
      <protection hidden="1"/>
    </xf>
    <xf numFmtId="10" fontId="0" fillId="0" borderId="0" xfId="1" applyNumberFormat="1" applyFont="1" applyProtection="1">
      <protection hidden="1"/>
    </xf>
    <xf numFmtId="0" fontId="0" fillId="3" borderId="4" xfId="3" applyFont="1" applyBorder="1" applyProtection="1">
      <protection hidden="1"/>
    </xf>
    <xf numFmtId="0" fontId="1" fillId="3" borderId="5" xfId="3" applyBorder="1" applyProtection="1">
      <protection hidden="1"/>
    </xf>
    <xf numFmtId="0" fontId="0" fillId="3" borderId="5" xfId="3" applyFont="1" applyBorder="1" applyProtection="1">
      <protection hidden="1"/>
    </xf>
    <xf numFmtId="0" fontId="1" fillId="3" borderId="4" xfId="3" applyBorder="1" applyProtection="1">
      <protection hidden="1"/>
    </xf>
    <xf numFmtId="0" fontId="1" fillId="3" borderId="6" xfId="3" applyBorder="1" applyProtection="1">
      <protection hidden="1"/>
    </xf>
    <xf numFmtId="164" fontId="1" fillId="2" borderId="11" xfId="2" applyNumberFormat="1" applyBorder="1" applyProtection="1">
      <protection hidden="1"/>
    </xf>
    <xf numFmtId="2" fontId="1" fillId="2" borderId="7" xfId="2" applyNumberFormat="1" applyBorder="1" applyProtection="1">
      <protection hidden="1"/>
    </xf>
    <xf numFmtId="2" fontId="1" fillId="2" borderId="8" xfId="2" applyNumberFormat="1" applyBorder="1" applyProtection="1">
      <protection hidden="1"/>
    </xf>
    <xf numFmtId="2" fontId="1" fillId="2" borderId="9" xfId="2" applyNumberFormat="1" applyBorder="1" applyProtection="1">
      <protection hidden="1"/>
    </xf>
    <xf numFmtId="0" fontId="1" fillId="2" borderId="7" xfId="2" applyBorder="1" applyProtection="1">
      <protection hidden="1"/>
    </xf>
    <xf numFmtId="0" fontId="1" fillId="2" borderId="8" xfId="2" applyBorder="1" applyProtection="1">
      <protection hidden="1"/>
    </xf>
    <xf numFmtId="0" fontId="1" fillId="2" borderId="9" xfId="2" applyBorder="1" applyProtection="1">
      <protection hidden="1"/>
    </xf>
    <xf numFmtId="0" fontId="0" fillId="0" borderId="0" xfId="0" applyAlignment="1" applyProtection="1">
      <protection hidden="1"/>
    </xf>
    <xf numFmtId="9" fontId="0" fillId="0" borderId="0" xfId="1" applyFont="1" applyProtection="1">
      <protection hidden="1"/>
    </xf>
    <xf numFmtId="0" fontId="5" fillId="6" borderId="9" xfId="6" applyFont="1" applyBorder="1" applyAlignment="1" applyProtection="1">
      <alignment horizontal="center"/>
      <protection hidden="1"/>
    </xf>
    <xf numFmtId="2" fontId="3" fillId="6" borderId="9" xfId="6" applyNumberFormat="1" applyFont="1" applyBorder="1" applyAlignment="1" applyProtection="1">
      <alignment horizontal="center"/>
      <protection hidden="1"/>
    </xf>
    <xf numFmtId="2" fontId="0" fillId="0" borderId="0" xfId="0" applyNumberFormat="1" applyAlignment="1" applyProtection="1">
      <protection hidden="1"/>
    </xf>
    <xf numFmtId="0" fontId="0" fillId="2" borderId="8" xfId="2" applyFont="1" applyBorder="1" applyProtection="1">
      <protection hidden="1"/>
    </xf>
    <xf numFmtId="10" fontId="0" fillId="0" borderId="0" xfId="1" applyNumberFormat="1" applyFont="1" applyAlignment="1" applyProtection="1">
      <alignment horizontal="center"/>
      <protection hidden="1"/>
    </xf>
    <xf numFmtId="9" fontId="1" fillId="2" borderId="8" xfId="2" applyNumberFormat="1" applyBorder="1" applyProtection="1">
      <protection hidden="1"/>
    </xf>
    <xf numFmtId="0" fontId="5" fillId="7" borderId="29" xfId="7" applyFont="1" applyBorder="1" applyAlignment="1" applyProtection="1">
      <alignment horizontal="center"/>
      <protection hidden="1"/>
    </xf>
    <xf numFmtId="0" fontId="5" fillId="7" borderId="30" xfId="7" applyFont="1" applyBorder="1" applyAlignment="1" applyProtection="1">
      <alignment horizontal="center"/>
      <protection hidden="1"/>
    </xf>
    <xf numFmtId="2" fontId="1" fillId="2" borderId="31" xfId="2" applyNumberFormat="1" applyBorder="1" applyProtection="1">
      <protection hidden="1"/>
    </xf>
    <xf numFmtId="2" fontId="1" fillId="2" borderId="32" xfId="2" applyNumberFormat="1" applyBorder="1" applyProtection="1">
      <protection hidden="1"/>
    </xf>
    <xf numFmtId="2" fontId="1" fillId="2" borderId="33" xfId="2" applyNumberFormat="1" applyBorder="1" applyProtection="1">
      <protection hidden="1"/>
    </xf>
    <xf numFmtId="10" fontId="4" fillId="6" borderId="7" xfId="1" applyNumberFormat="1" applyFont="1" applyFill="1" applyBorder="1"/>
    <xf numFmtId="10" fontId="4" fillId="6" borderId="9" xfId="1" applyNumberFormat="1" applyFont="1" applyFill="1" applyBorder="1"/>
    <xf numFmtId="0" fontId="0" fillId="3" borderId="4" xfId="3" applyFont="1" applyBorder="1" applyAlignment="1" applyProtection="1">
      <protection hidden="1"/>
    </xf>
    <xf numFmtId="0" fontId="0" fillId="3" borderId="6" xfId="3" applyFont="1" applyBorder="1" applyAlignment="1" applyProtection="1">
      <protection hidden="1"/>
    </xf>
    <xf numFmtId="10" fontId="4" fillId="6" borderId="11" xfId="1" applyNumberFormat="1" applyFont="1" applyFill="1" applyBorder="1"/>
    <xf numFmtId="9" fontId="4" fillId="4" borderId="45" xfId="4" applyNumberFormat="1" applyFont="1" applyBorder="1" applyAlignment="1" applyProtection="1">
      <alignment horizontal="center" vertical="center"/>
      <protection hidden="1"/>
    </xf>
    <xf numFmtId="0" fontId="5" fillId="7" borderId="40" xfId="7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0" fillId="0" borderId="0" xfId="0" applyFont="1"/>
    <xf numFmtId="0" fontId="2" fillId="0" borderId="0" xfId="0" applyFont="1"/>
    <xf numFmtId="166" fontId="2" fillId="0" borderId="0" xfId="0" applyNumberFormat="1" applyFont="1"/>
    <xf numFmtId="0" fontId="5" fillId="7" borderId="50" xfId="7" applyFont="1" applyBorder="1" applyAlignment="1" applyProtection="1">
      <alignment horizontal="center"/>
      <protection hidden="1"/>
    </xf>
    <xf numFmtId="0" fontId="5" fillId="7" borderId="45" xfId="7" applyFont="1" applyBorder="1" applyAlignment="1" applyProtection="1">
      <alignment horizontal="center"/>
      <protection hidden="1"/>
    </xf>
    <xf numFmtId="0" fontId="9" fillId="5" borderId="9" xfId="5" applyFont="1" applyBorder="1" applyAlignment="1" applyProtection="1">
      <protection locked="0"/>
    </xf>
    <xf numFmtId="0" fontId="9" fillId="5" borderId="7" xfId="5" applyFont="1" applyBorder="1" applyAlignment="1" applyProtection="1">
      <protection locked="0" hidden="1"/>
    </xf>
    <xf numFmtId="0" fontId="9" fillId="5" borderId="9" xfId="5" applyFont="1" applyBorder="1" applyAlignment="1" applyProtection="1">
      <protection locked="0" hidden="1"/>
    </xf>
    <xf numFmtId="0" fontId="9" fillId="5" borderId="7" xfId="5" applyFont="1" applyBorder="1" applyProtection="1">
      <protection locked="0" hidden="1"/>
    </xf>
    <xf numFmtId="0" fontId="9" fillId="5" borderId="8" xfId="5" applyFont="1" applyBorder="1" applyProtection="1">
      <protection locked="0" hidden="1"/>
    </xf>
    <xf numFmtId="0" fontId="9" fillId="5" borderId="32" xfId="5" applyFont="1" applyBorder="1" applyProtection="1">
      <protection locked="0" hidden="1"/>
    </xf>
    <xf numFmtId="0" fontId="9" fillId="5" borderId="31" xfId="5" applyFont="1" applyBorder="1" applyProtection="1">
      <protection locked="0" hidden="1"/>
    </xf>
    <xf numFmtId="2" fontId="2" fillId="0" borderId="0" xfId="0" applyNumberFormat="1" applyFont="1"/>
    <xf numFmtId="9" fontId="4" fillId="5" borderId="47" xfId="1" applyFont="1" applyFill="1" applyBorder="1" applyAlignment="1" applyProtection="1">
      <alignment horizontal="center" vertical="center"/>
      <protection locked="0" hidden="1"/>
    </xf>
    <xf numFmtId="0" fontId="0" fillId="3" borderId="18" xfId="3" applyFont="1" applyBorder="1" applyAlignment="1" applyProtection="1">
      <alignment horizontal="center"/>
      <protection hidden="1"/>
    </xf>
    <xf numFmtId="0" fontId="0" fillId="3" borderId="22" xfId="3" applyFont="1" applyBorder="1" applyAlignment="1" applyProtection="1">
      <alignment horizontal="center"/>
      <protection hidden="1"/>
    </xf>
    <xf numFmtId="0" fontId="0" fillId="3" borderId="10" xfId="3" applyFont="1" applyBorder="1" applyAlignment="1" applyProtection="1">
      <alignment horizontal="center"/>
      <protection hidden="1"/>
    </xf>
    <xf numFmtId="0" fontId="0" fillId="3" borderId="19" xfId="3" applyFont="1" applyBorder="1" applyAlignment="1" applyProtection="1">
      <alignment horizontal="center"/>
      <protection hidden="1"/>
    </xf>
    <xf numFmtId="0" fontId="13" fillId="2" borderId="0" xfId="2" applyFont="1" applyProtection="1">
      <protection hidden="1"/>
    </xf>
    <xf numFmtId="10" fontId="4" fillId="6" borderId="7" xfId="1" applyNumberFormat="1" applyFont="1" applyFill="1" applyBorder="1" applyAlignment="1">
      <alignment horizontal="center"/>
    </xf>
    <xf numFmtId="9" fontId="1" fillId="2" borderId="23" xfId="2" applyNumberFormat="1" applyBorder="1" applyProtection="1">
      <protection hidden="1"/>
    </xf>
    <xf numFmtId="0" fontId="0" fillId="3" borderId="33" xfId="3" applyFont="1" applyBorder="1" applyAlignment="1" applyProtection="1">
      <protection hidden="1"/>
    </xf>
    <xf numFmtId="0" fontId="0" fillId="3" borderId="31" xfId="3" applyFont="1" applyBorder="1" applyAlignment="1" applyProtection="1">
      <protection hidden="1"/>
    </xf>
    <xf numFmtId="0" fontId="1" fillId="3" borderId="32" xfId="3" applyBorder="1" applyProtection="1">
      <protection hidden="1"/>
    </xf>
    <xf numFmtId="0" fontId="1" fillId="3" borderId="31" xfId="3" applyBorder="1" applyProtection="1">
      <protection hidden="1"/>
    </xf>
    <xf numFmtId="9" fontId="4" fillId="4" borderId="40" xfId="4" applyNumberFormat="1" applyFont="1" applyBorder="1" applyAlignment="1" applyProtection="1">
      <alignment horizontal="center" vertical="center"/>
      <protection hidden="1"/>
    </xf>
    <xf numFmtId="0" fontId="0" fillId="3" borderId="32" xfId="3" applyFont="1" applyBorder="1" applyProtection="1">
      <protection hidden="1"/>
    </xf>
    <xf numFmtId="0" fontId="0" fillId="3" borderId="31" xfId="3" applyFont="1" applyBorder="1" applyProtection="1">
      <protection hidden="1"/>
    </xf>
    <xf numFmtId="9" fontId="4" fillId="4" borderId="60" xfId="4" applyNumberFormat="1" applyFont="1" applyBorder="1" applyAlignment="1" applyProtection="1">
      <alignment horizontal="center" vertical="center"/>
      <protection hidden="1"/>
    </xf>
    <xf numFmtId="0" fontId="14" fillId="0" borderId="0" xfId="0" applyFont="1"/>
    <xf numFmtId="2" fontId="0" fillId="0" borderId="0" xfId="0" applyNumberFormat="1" applyProtection="1">
      <protection hidden="1"/>
    </xf>
    <xf numFmtId="9" fontId="15" fillId="0" borderId="56" xfId="1" applyFont="1" applyBorder="1" applyAlignment="1" applyProtection="1">
      <alignment horizontal="center" vertical="center"/>
      <protection locked="0"/>
    </xf>
    <xf numFmtId="0" fontId="14" fillId="0" borderId="56" xfId="0" applyFont="1" applyBorder="1" applyProtection="1">
      <protection locked="0"/>
    </xf>
    <xf numFmtId="0" fontId="14" fillId="0" borderId="34" xfId="0" applyFont="1" applyBorder="1" applyProtection="1">
      <protection locked="0"/>
    </xf>
    <xf numFmtId="0" fontId="16" fillId="0" borderId="56" xfId="0" applyFont="1" applyBorder="1" applyAlignment="1" applyProtection="1">
      <alignment horizontal="center"/>
      <protection locked="0"/>
    </xf>
    <xf numFmtId="0" fontId="0" fillId="0" borderId="56" xfId="0" applyBorder="1" applyProtection="1">
      <protection locked="0"/>
    </xf>
    <xf numFmtId="0" fontId="2" fillId="0" borderId="48" xfId="0" applyFont="1" applyBorder="1" applyAlignment="1">
      <alignment horizontal="center"/>
    </xf>
    <xf numFmtId="0" fontId="6" fillId="4" borderId="15" xfId="4" applyFont="1" applyBorder="1" applyAlignment="1" applyProtection="1">
      <alignment horizontal="center"/>
      <protection hidden="1"/>
    </xf>
    <xf numFmtId="0" fontId="6" fillId="4" borderId="17" xfId="4" applyFont="1" applyBorder="1" applyAlignment="1" applyProtection="1">
      <alignment horizontal="center"/>
      <protection hidden="1"/>
    </xf>
    <xf numFmtId="0" fontId="6" fillId="4" borderId="16" xfId="4" applyFont="1" applyBorder="1" applyAlignment="1" applyProtection="1">
      <alignment horizontal="center"/>
      <protection hidden="1"/>
    </xf>
    <xf numFmtId="165" fontId="1" fillId="2" borderId="34" xfId="2" applyNumberFormat="1" applyBorder="1" applyAlignment="1" applyProtection="1">
      <alignment horizontal="center"/>
      <protection hidden="1"/>
    </xf>
    <xf numFmtId="165" fontId="1" fillId="2" borderId="49" xfId="2" applyNumberFormat="1" applyBorder="1" applyAlignment="1" applyProtection="1">
      <alignment horizontal="center"/>
      <protection hidden="1"/>
    </xf>
    <xf numFmtId="165" fontId="1" fillId="2" borderId="35" xfId="2" applyNumberFormat="1" applyBorder="1" applyAlignment="1" applyProtection="1">
      <alignment horizontal="center"/>
      <protection hidden="1"/>
    </xf>
    <xf numFmtId="0" fontId="2" fillId="0" borderId="39" xfId="0" applyFont="1" applyBorder="1" applyAlignment="1">
      <alignment horizontal="center"/>
    </xf>
    <xf numFmtId="0" fontId="1" fillId="3" borderId="10" xfId="3" applyBorder="1" applyAlignment="1" applyProtection="1">
      <alignment horizontal="center"/>
      <protection hidden="1"/>
    </xf>
    <xf numFmtId="0" fontId="1" fillId="3" borderId="19" xfId="3" applyBorder="1" applyAlignment="1" applyProtection="1">
      <alignment horizontal="center"/>
      <protection hidden="1"/>
    </xf>
    <xf numFmtId="0" fontId="4" fillId="4" borderId="15" xfId="4" applyFont="1" applyBorder="1" applyAlignment="1" applyProtection="1">
      <alignment horizontal="center"/>
      <protection hidden="1"/>
    </xf>
    <xf numFmtId="0" fontId="4" fillId="4" borderId="17" xfId="4" applyFont="1" applyBorder="1" applyAlignment="1" applyProtection="1">
      <alignment horizontal="center"/>
      <protection hidden="1"/>
    </xf>
    <xf numFmtId="0" fontId="4" fillId="4" borderId="16" xfId="4" applyFont="1" applyBorder="1" applyAlignment="1" applyProtection="1">
      <alignment horizontal="center"/>
      <protection hidden="1"/>
    </xf>
    <xf numFmtId="0" fontId="9" fillId="5" borderId="20" xfId="5" applyFont="1" applyBorder="1" applyAlignment="1" applyProtection="1">
      <alignment horizontal="center"/>
      <protection hidden="1"/>
    </xf>
    <xf numFmtId="0" fontId="9" fillId="5" borderId="23" xfId="5" applyFont="1" applyBorder="1" applyAlignment="1" applyProtection="1">
      <alignment horizontal="center"/>
      <protection hidden="1"/>
    </xf>
    <xf numFmtId="0" fontId="9" fillId="5" borderId="11" xfId="5" applyFont="1" applyBorder="1" applyAlignment="1" applyProtection="1">
      <alignment horizontal="center"/>
      <protection hidden="1"/>
    </xf>
    <xf numFmtId="0" fontId="9" fillId="5" borderId="21" xfId="5" applyFont="1" applyBorder="1" applyAlignment="1" applyProtection="1">
      <alignment horizontal="center"/>
      <protection hidden="1"/>
    </xf>
    <xf numFmtId="0" fontId="4" fillId="4" borderId="1" xfId="4" applyFont="1" applyBorder="1" applyAlignment="1" applyProtection="1">
      <alignment horizontal="center"/>
      <protection hidden="1"/>
    </xf>
    <xf numFmtId="0" fontId="4" fillId="4" borderId="2" xfId="4" applyFont="1" applyBorder="1" applyAlignment="1" applyProtection="1">
      <alignment horizontal="center"/>
      <protection hidden="1"/>
    </xf>
    <xf numFmtId="0" fontId="4" fillId="4" borderId="3" xfId="4" applyFont="1" applyBorder="1" applyAlignment="1" applyProtection="1">
      <alignment horizontal="center"/>
      <protection hidden="1"/>
    </xf>
    <xf numFmtId="0" fontId="11" fillId="7" borderId="51" xfId="7" applyFont="1" applyBorder="1" applyAlignment="1" applyProtection="1">
      <alignment horizontal="center"/>
      <protection hidden="1"/>
    </xf>
    <xf numFmtId="0" fontId="11" fillId="7" borderId="52" xfId="7" applyFont="1" applyBorder="1" applyAlignment="1" applyProtection="1">
      <alignment horizontal="center"/>
      <protection hidden="1"/>
    </xf>
    <xf numFmtId="9" fontId="4" fillId="5" borderId="46" xfId="1" applyFont="1" applyFill="1" applyBorder="1" applyAlignment="1" applyProtection="1">
      <alignment horizontal="center" vertical="center"/>
      <protection locked="0" hidden="1"/>
    </xf>
    <xf numFmtId="9" fontId="4" fillId="5" borderId="47" xfId="1" applyFont="1" applyFill="1" applyBorder="1" applyAlignment="1" applyProtection="1">
      <alignment horizontal="center" vertical="center"/>
      <protection locked="0" hidden="1"/>
    </xf>
    <xf numFmtId="0" fontId="4" fillId="6" borderId="3" xfId="6" applyFont="1" applyBorder="1" applyAlignment="1" applyProtection="1">
      <alignment horizontal="center" vertical="center" wrapText="1"/>
      <protection hidden="1"/>
    </xf>
    <xf numFmtId="0" fontId="4" fillId="6" borderId="6" xfId="6" applyFont="1" applyBorder="1" applyAlignment="1" applyProtection="1">
      <alignment horizontal="center" vertical="center"/>
      <protection hidden="1"/>
    </xf>
    <xf numFmtId="0" fontId="0" fillId="3" borderId="18" xfId="3" applyFont="1" applyBorder="1" applyAlignment="1" applyProtection="1">
      <alignment horizontal="center"/>
      <protection hidden="1"/>
    </xf>
    <xf numFmtId="0" fontId="0" fillId="3" borderId="22" xfId="3" applyFont="1" applyBorder="1" applyAlignment="1" applyProtection="1">
      <alignment horizontal="center"/>
      <protection hidden="1"/>
    </xf>
    <xf numFmtId="10" fontId="4" fillId="6" borderId="1" xfId="6" applyNumberFormat="1" applyFont="1" applyBorder="1" applyAlignment="1" applyProtection="1">
      <alignment horizontal="center" vertical="center"/>
      <protection hidden="1"/>
    </xf>
    <xf numFmtId="10" fontId="4" fillId="6" borderId="4" xfId="6" applyNumberFormat="1" applyFont="1" applyBorder="1" applyAlignment="1" applyProtection="1">
      <alignment horizontal="center" vertical="center"/>
      <protection hidden="1"/>
    </xf>
    <xf numFmtId="10" fontId="4" fillId="6" borderId="7" xfId="6" applyNumberFormat="1" applyFont="1" applyBorder="1" applyAlignment="1" applyProtection="1">
      <alignment horizontal="center" vertical="center"/>
      <protection hidden="1"/>
    </xf>
    <xf numFmtId="0" fontId="0" fillId="3" borderId="19" xfId="3" applyFont="1" applyBorder="1" applyAlignment="1" applyProtection="1">
      <alignment horizontal="center"/>
      <protection hidden="1"/>
    </xf>
    <xf numFmtId="10" fontId="4" fillId="6" borderId="26" xfId="6" applyNumberFormat="1" applyFont="1" applyBorder="1" applyAlignment="1" applyProtection="1">
      <alignment horizontal="center" vertical="center"/>
      <protection hidden="1"/>
    </xf>
    <xf numFmtId="10" fontId="4" fillId="6" borderId="27" xfId="6" applyNumberFormat="1" applyFont="1" applyBorder="1" applyAlignment="1" applyProtection="1">
      <alignment horizontal="center" vertical="center"/>
      <protection hidden="1"/>
    </xf>
    <xf numFmtId="10" fontId="4" fillId="6" borderId="28" xfId="6" applyNumberFormat="1" applyFont="1" applyBorder="1" applyAlignment="1" applyProtection="1">
      <alignment horizontal="center" vertical="center"/>
      <protection hidden="1"/>
    </xf>
    <xf numFmtId="0" fontId="5" fillId="7" borderId="1" xfId="7" applyFont="1" applyBorder="1" applyAlignment="1" applyProtection="1">
      <alignment horizontal="center"/>
      <protection hidden="1"/>
    </xf>
    <xf numFmtId="0" fontId="5" fillId="7" borderId="3" xfId="7" applyFont="1" applyBorder="1" applyAlignment="1" applyProtection="1">
      <alignment horizontal="center"/>
      <protection hidden="1"/>
    </xf>
    <xf numFmtId="0" fontId="12" fillId="6" borderId="42" xfId="6" applyFont="1" applyBorder="1" applyAlignment="1" applyProtection="1">
      <alignment horizontal="center" vertical="center"/>
      <protection hidden="1"/>
    </xf>
    <xf numFmtId="0" fontId="12" fillId="6" borderId="43" xfId="6" applyFont="1" applyBorder="1" applyAlignment="1" applyProtection="1">
      <alignment horizontal="center" vertical="center"/>
      <protection hidden="1"/>
    </xf>
    <xf numFmtId="0" fontId="12" fillId="6" borderId="44" xfId="6" applyFont="1" applyBorder="1" applyAlignment="1" applyProtection="1">
      <alignment horizontal="center" vertical="center"/>
      <protection hidden="1"/>
    </xf>
    <xf numFmtId="10" fontId="4" fillId="6" borderId="12" xfId="6" applyNumberFormat="1" applyFont="1" applyBorder="1" applyAlignment="1" applyProtection="1">
      <alignment horizontal="center" vertical="center"/>
      <protection hidden="1"/>
    </xf>
    <xf numFmtId="10" fontId="4" fillId="6" borderId="13" xfId="6" applyNumberFormat="1" applyFont="1" applyBorder="1" applyAlignment="1" applyProtection="1">
      <alignment horizontal="center" vertical="center"/>
      <protection hidden="1"/>
    </xf>
    <xf numFmtId="10" fontId="4" fillId="6" borderId="14" xfId="6" applyNumberFormat="1" applyFont="1" applyBorder="1" applyAlignment="1" applyProtection="1">
      <alignment horizontal="center" vertical="center"/>
      <protection hidden="1"/>
    </xf>
    <xf numFmtId="0" fontId="11" fillId="6" borderId="42" xfId="6" applyFont="1" applyBorder="1" applyAlignment="1" applyProtection="1">
      <alignment horizontal="center" vertical="center"/>
      <protection hidden="1"/>
    </xf>
    <xf numFmtId="0" fontId="11" fillId="6" borderId="43" xfId="6" applyFont="1" applyBorder="1" applyAlignment="1" applyProtection="1">
      <alignment horizontal="center" vertical="center"/>
      <protection hidden="1"/>
    </xf>
    <xf numFmtId="0" fontId="11" fillId="6" borderId="44" xfId="6" applyFont="1" applyBorder="1" applyAlignment="1" applyProtection="1">
      <alignment horizontal="center" vertical="center"/>
      <protection hidden="1"/>
    </xf>
    <xf numFmtId="0" fontId="5" fillId="7" borderId="41" xfId="7" applyFont="1" applyBorder="1" applyAlignment="1" applyProtection="1">
      <alignment horizontal="center"/>
      <protection hidden="1"/>
    </xf>
    <xf numFmtId="10" fontId="4" fillId="6" borderId="36" xfId="6" applyNumberFormat="1" applyFont="1" applyBorder="1" applyAlignment="1" applyProtection="1">
      <alignment horizontal="center" vertical="center"/>
      <protection hidden="1"/>
    </xf>
    <xf numFmtId="10" fontId="4" fillId="6" borderId="37" xfId="6" applyNumberFormat="1" applyFont="1" applyBorder="1" applyAlignment="1" applyProtection="1">
      <alignment horizontal="center" vertical="center"/>
      <protection hidden="1"/>
    </xf>
    <xf numFmtId="10" fontId="4" fillId="6" borderId="38" xfId="6" applyNumberFormat="1" applyFont="1" applyBorder="1" applyAlignment="1" applyProtection="1">
      <alignment horizontal="center" vertical="center"/>
      <protection hidden="1"/>
    </xf>
    <xf numFmtId="0" fontId="1" fillId="2" borderId="20" xfId="2" applyBorder="1" applyAlignment="1" applyProtection="1">
      <alignment horizontal="center"/>
      <protection hidden="1"/>
    </xf>
    <xf numFmtId="0" fontId="1" fillId="2" borderId="25" xfId="2" applyBorder="1" applyAlignment="1" applyProtection="1">
      <alignment horizontal="center"/>
      <protection hidden="1"/>
    </xf>
    <xf numFmtId="0" fontId="1" fillId="2" borderId="21" xfId="2" applyBorder="1" applyAlignment="1" applyProtection="1">
      <alignment horizontal="center"/>
      <protection hidden="1"/>
    </xf>
    <xf numFmtId="0" fontId="1" fillId="3" borderId="18" xfId="3" applyBorder="1" applyAlignment="1" applyProtection="1">
      <alignment horizontal="center"/>
      <protection hidden="1"/>
    </xf>
    <xf numFmtId="0" fontId="1" fillId="3" borderId="24" xfId="3" applyBorder="1" applyAlignment="1" applyProtection="1">
      <alignment horizontal="center"/>
      <protection hidden="1"/>
    </xf>
    <xf numFmtId="0" fontId="0" fillId="3" borderId="10" xfId="3" applyFont="1" applyBorder="1" applyAlignment="1" applyProtection="1">
      <alignment horizontal="center"/>
      <protection hidden="1"/>
    </xf>
    <xf numFmtId="0" fontId="9" fillId="5" borderId="20" xfId="5" applyFont="1" applyBorder="1" applyAlignment="1" applyProtection="1">
      <alignment horizontal="center"/>
      <protection locked="0" hidden="1"/>
    </xf>
    <xf numFmtId="0" fontId="9" fillId="5" borderId="21" xfId="5" applyFont="1" applyBorder="1" applyAlignment="1" applyProtection="1">
      <alignment horizontal="center"/>
      <protection locked="0" hidden="1"/>
    </xf>
    <xf numFmtId="0" fontId="1" fillId="2" borderId="20" xfId="2" applyBorder="1" applyAlignment="1">
      <alignment horizontal="center"/>
    </xf>
    <xf numFmtId="0" fontId="1" fillId="2" borderId="25" xfId="2" applyBorder="1" applyAlignment="1">
      <alignment horizontal="center"/>
    </xf>
    <xf numFmtId="0" fontId="1" fillId="2" borderId="21" xfId="2" applyBorder="1" applyAlignment="1">
      <alignment horizontal="center"/>
    </xf>
    <xf numFmtId="0" fontId="6" fillId="4" borderId="34" xfId="4" applyFont="1" applyBorder="1" applyAlignment="1" applyProtection="1">
      <alignment horizontal="center"/>
      <protection hidden="1"/>
    </xf>
    <xf numFmtId="0" fontId="6" fillId="4" borderId="35" xfId="4" applyFont="1" applyBorder="1" applyAlignment="1" applyProtection="1">
      <alignment horizontal="center"/>
      <protection hidden="1"/>
    </xf>
    <xf numFmtId="0" fontId="17" fillId="0" borderId="1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5" fillId="7" borderId="53" xfId="7" applyFont="1" applyBorder="1" applyAlignment="1" applyProtection="1">
      <alignment horizontal="center"/>
      <protection locked="0" hidden="1"/>
    </xf>
    <xf numFmtId="0" fontId="5" fillId="7" borderId="30" xfId="7" applyFont="1" applyBorder="1" applyAlignment="1" applyProtection="1">
      <alignment horizontal="center"/>
      <protection locked="0" hidden="1"/>
    </xf>
    <xf numFmtId="167" fontId="13" fillId="2" borderId="0" xfId="2" applyNumberFormat="1" applyFont="1" applyAlignment="1" applyProtection="1">
      <alignment horizontal="center"/>
      <protection locked="0" hidden="1"/>
    </xf>
    <xf numFmtId="9" fontId="15" fillId="0" borderId="40" xfId="1" applyFont="1" applyBorder="1" applyAlignment="1" applyProtection="1">
      <alignment horizontal="center" vertical="center"/>
      <protection locked="0"/>
    </xf>
    <xf numFmtId="9" fontId="15" fillId="0" borderId="58" xfId="1" applyFont="1" applyBorder="1" applyAlignment="1" applyProtection="1">
      <alignment horizontal="center" vertical="center"/>
      <protection locked="0"/>
    </xf>
    <xf numFmtId="0" fontId="11" fillId="7" borderId="34" xfId="7" applyFont="1" applyBorder="1" applyAlignment="1" applyProtection="1">
      <alignment horizontal="center"/>
      <protection hidden="1"/>
    </xf>
    <xf numFmtId="0" fontId="11" fillId="7" borderId="49" xfId="7" applyFont="1" applyBorder="1" applyAlignment="1" applyProtection="1">
      <alignment horizontal="center"/>
      <protection hidden="1"/>
    </xf>
    <xf numFmtId="0" fontId="11" fillId="7" borderId="35" xfId="7" applyFont="1" applyBorder="1" applyAlignment="1" applyProtection="1">
      <alignment horizontal="center"/>
      <protection hidden="1"/>
    </xf>
    <xf numFmtId="0" fontId="12" fillId="6" borderId="52" xfId="6" applyFont="1" applyBorder="1" applyAlignment="1" applyProtection="1">
      <alignment horizontal="center" vertical="center"/>
      <protection hidden="1"/>
    </xf>
    <xf numFmtId="0" fontId="6" fillId="4" borderId="54" xfId="4" applyFont="1" applyBorder="1" applyAlignment="1" applyProtection="1">
      <alignment horizontal="center"/>
      <protection hidden="1"/>
    </xf>
    <xf numFmtId="0" fontId="6" fillId="4" borderId="55" xfId="4" applyFont="1" applyBorder="1" applyAlignment="1" applyProtection="1">
      <alignment horizontal="center"/>
      <protection hidden="1"/>
    </xf>
    <xf numFmtId="0" fontId="9" fillId="5" borderId="25" xfId="5" applyFont="1" applyBorder="1" applyAlignment="1" applyProtection="1">
      <alignment horizontal="center"/>
      <protection hidden="1"/>
    </xf>
    <xf numFmtId="0" fontId="11" fillId="6" borderId="52" xfId="6" applyFont="1" applyBorder="1" applyAlignment="1" applyProtection="1">
      <alignment horizontal="center" vertical="center"/>
      <protection hidden="1"/>
    </xf>
    <xf numFmtId="0" fontId="4" fillId="6" borderId="57" xfId="6" applyFont="1" applyBorder="1" applyAlignment="1" applyProtection="1">
      <alignment horizontal="center" vertical="center"/>
      <protection hidden="1"/>
    </xf>
    <xf numFmtId="0" fontId="0" fillId="3" borderId="59" xfId="3" applyFont="1" applyBorder="1" applyAlignment="1" applyProtection="1">
      <alignment horizontal="center"/>
      <protection hidden="1"/>
    </xf>
    <xf numFmtId="0" fontId="0" fillId="3" borderId="57" xfId="3" applyFont="1" applyBorder="1" applyAlignment="1" applyProtection="1">
      <alignment horizontal="center"/>
      <protection hidden="1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35" xfId="0" applyFont="1" applyBorder="1" applyAlignment="1" applyProtection="1">
      <alignment horizontal="center"/>
      <protection locked="0"/>
    </xf>
  </cellXfs>
  <cellStyles count="8">
    <cellStyle name="20 % - Accent1" xfId="2" builtinId="30"/>
    <cellStyle name="40 % - Accent1" xfId="3" builtinId="31"/>
    <cellStyle name="60 % - Accent1" xfId="4" builtinId="32"/>
    <cellStyle name="60 % - Accent4" xfId="5" builtinId="44"/>
    <cellStyle name="60 % - Accent5" xfId="7" builtinId="48"/>
    <cellStyle name="Accent5" xfId="6" builtinId="45"/>
    <cellStyle name="Normal" xfId="0" builtinId="0"/>
    <cellStyle name="Pourcentage" xfId="1" builtinId="5"/>
  </cellStyles>
  <dxfs count="8"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542924</xdr:colOff>
      <xdr:row>0</xdr:row>
      <xdr:rowOff>0</xdr:rowOff>
    </xdr:from>
    <xdr:to>
      <xdr:col>10</xdr:col>
      <xdr:colOff>504825</xdr:colOff>
      <xdr:row>9</xdr:row>
      <xdr:rowOff>61519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0"/>
          <a:ext cx="4533901" cy="17760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13</xdr:row>
          <xdr:rowOff>66675</xdr:rowOff>
        </xdr:from>
        <xdr:to>
          <xdr:col>14</xdr:col>
          <xdr:colOff>647700</xdr:colOff>
          <xdr:row>14</xdr:row>
          <xdr:rowOff>209550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390525</xdr:colOff>
          <xdr:row>16</xdr:row>
          <xdr:rowOff>85725</xdr:rowOff>
        </xdr:from>
        <xdr:to>
          <xdr:col>14</xdr:col>
          <xdr:colOff>685800</xdr:colOff>
          <xdr:row>18</xdr:row>
          <xdr:rowOff>85725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1322768</xdr:colOff>
      <xdr:row>15</xdr:row>
      <xdr:rowOff>168275</xdr:rowOff>
    </xdr:from>
    <xdr:to>
      <xdr:col>0</xdr:col>
      <xdr:colOff>1322768</xdr:colOff>
      <xdr:row>21</xdr:row>
      <xdr:rowOff>73025</xdr:rowOff>
    </xdr:to>
    <xdr:cxnSp macro="">
      <xdr:nvCxnSpPr>
        <xdr:cNvPr id="3981" name="Connecteur droit 3980"/>
        <xdr:cNvCxnSpPr/>
      </xdr:nvCxnSpPr>
      <xdr:spPr>
        <a:xfrm>
          <a:off x="1322768" y="4445000"/>
          <a:ext cx="0" cy="10477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17</xdr:row>
      <xdr:rowOff>20257</xdr:rowOff>
    </xdr:from>
    <xdr:to>
      <xdr:col>0</xdr:col>
      <xdr:colOff>1322768</xdr:colOff>
      <xdr:row>17</xdr:row>
      <xdr:rowOff>20257</xdr:rowOff>
    </xdr:to>
    <xdr:cxnSp macro="">
      <xdr:nvCxnSpPr>
        <xdr:cNvPr id="3982" name="Connecteur droit 3981"/>
        <xdr:cNvCxnSpPr/>
      </xdr:nvCxnSpPr>
      <xdr:spPr>
        <a:xfrm>
          <a:off x="508000" y="4677982"/>
          <a:ext cx="81476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22</xdr:row>
      <xdr:rowOff>73025</xdr:rowOff>
    </xdr:from>
    <xdr:to>
      <xdr:col>0</xdr:col>
      <xdr:colOff>1322768</xdr:colOff>
      <xdr:row>22</xdr:row>
      <xdr:rowOff>73025</xdr:rowOff>
    </xdr:to>
    <xdr:cxnSp macro="">
      <xdr:nvCxnSpPr>
        <xdr:cNvPr id="3983" name="Connecteur droit 3982"/>
        <xdr:cNvCxnSpPr/>
      </xdr:nvCxnSpPr>
      <xdr:spPr>
        <a:xfrm>
          <a:off x="508000" y="5683250"/>
          <a:ext cx="814768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21</xdr:row>
      <xdr:rowOff>73025</xdr:rowOff>
    </xdr:from>
    <xdr:ext cx="1640268" cy="264560"/>
    <xdr:sp macro="" textlink="">
      <xdr:nvSpPr>
        <xdr:cNvPr id="3984" name="ZoneTexte 3983"/>
        <xdr:cNvSpPr txBox="1"/>
      </xdr:nvSpPr>
      <xdr:spPr>
        <a:xfrm>
          <a:off x="635000" y="5492750"/>
          <a:ext cx="16402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1021</a:t>
          </a:r>
        </a:p>
      </xdr:txBody>
    </xdr:sp>
    <xdr:clientData/>
  </xdr:oneCellAnchor>
  <xdr:twoCellAnchor>
    <xdr:from>
      <xdr:col>0</xdr:col>
      <xdr:colOff>317500</xdr:colOff>
      <xdr:row>17</xdr:row>
      <xdr:rowOff>20257</xdr:rowOff>
    </xdr:from>
    <xdr:to>
      <xdr:col>0</xdr:col>
      <xdr:colOff>317500</xdr:colOff>
      <xdr:row>21</xdr:row>
      <xdr:rowOff>73025</xdr:rowOff>
    </xdr:to>
    <xdr:cxnSp macro="">
      <xdr:nvCxnSpPr>
        <xdr:cNvPr id="3985" name="Connecteur droit 3984"/>
        <xdr:cNvCxnSpPr/>
      </xdr:nvCxnSpPr>
      <xdr:spPr>
        <a:xfrm flipV="1">
          <a:off x="317500" y="4677982"/>
          <a:ext cx="0" cy="81476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17</xdr:row>
      <xdr:rowOff>83757</xdr:rowOff>
    </xdr:from>
    <xdr:ext cx="356893" cy="635000"/>
    <xdr:sp macro="" textlink="">
      <xdr:nvSpPr>
        <xdr:cNvPr id="3986" name="ZoneTexte 3985"/>
        <xdr:cNvSpPr txBox="1"/>
      </xdr:nvSpPr>
      <xdr:spPr>
        <a:xfrm>
          <a:off x="254000" y="47414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1021</a:t>
          </a:r>
        </a:p>
      </xdr:txBody>
    </xdr:sp>
    <xdr:clientData/>
  </xdr:oneCellAnchor>
  <xdr:twoCellAnchor>
    <xdr:from>
      <xdr:col>0</xdr:col>
      <xdr:colOff>317500</xdr:colOff>
      <xdr:row>15</xdr:row>
      <xdr:rowOff>168275</xdr:rowOff>
    </xdr:from>
    <xdr:to>
      <xdr:col>0</xdr:col>
      <xdr:colOff>317500</xdr:colOff>
      <xdr:row>17</xdr:row>
      <xdr:rowOff>20257</xdr:rowOff>
    </xdr:to>
    <xdr:cxnSp macro="">
      <xdr:nvCxnSpPr>
        <xdr:cNvPr id="3987" name="Connecteur droit 3986"/>
        <xdr:cNvCxnSpPr/>
      </xdr:nvCxnSpPr>
      <xdr:spPr>
        <a:xfrm flipV="1">
          <a:off x="317500" y="4445000"/>
          <a:ext cx="0" cy="232982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16</xdr:row>
      <xdr:rowOff>41275</xdr:rowOff>
    </xdr:from>
    <xdr:ext cx="356893" cy="635000"/>
    <xdr:sp macro="" textlink="">
      <xdr:nvSpPr>
        <xdr:cNvPr id="3988" name="ZoneTexte 3987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479</a:t>
          </a:r>
        </a:p>
      </xdr:txBody>
    </xdr:sp>
    <xdr:clientData/>
  </xdr:oneCellAnchor>
  <xdr:twoCellAnchor>
    <xdr:from>
      <xdr:col>0</xdr:col>
      <xdr:colOff>508000</xdr:colOff>
      <xdr:row>15</xdr:row>
      <xdr:rowOff>168275</xdr:rowOff>
    </xdr:from>
    <xdr:to>
      <xdr:col>3</xdr:col>
      <xdr:colOff>441325</xdr:colOff>
      <xdr:row>21</xdr:row>
      <xdr:rowOff>73025</xdr:rowOff>
    </xdr:to>
    <xdr:sp macro="" textlink="">
      <xdr:nvSpPr>
        <xdr:cNvPr id="3989" name="Rectangle 3988"/>
        <xdr:cNvSpPr/>
      </xdr:nvSpPr>
      <xdr:spPr>
        <a:xfrm>
          <a:off x="508000" y="4445000"/>
          <a:ext cx="4191000" cy="104775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15</xdr:row>
      <xdr:rowOff>41275</xdr:rowOff>
    </xdr:from>
    <xdr:to>
      <xdr:col>3</xdr:col>
      <xdr:colOff>441325</xdr:colOff>
      <xdr:row>15</xdr:row>
      <xdr:rowOff>41275</xdr:rowOff>
    </xdr:to>
    <xdr:cxnSp macro="">
      <xdr:nvCxnSpPr>
        <xdr:cNvPr id="3990" name="Connecteur droit 3989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14</xdr:row>
      <xdr:rowOff>88900</xdr:rowOff>
    </xdr:from>
    <xdr:ext cx="5016500" cy="264560"/>
    <xdr:sp macro="" textlink="">
      <xdr:nvSpPr>
        <xdr:cNvPr id="3991" name="ZoneTexte 3990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3</xdr:col>
      <xdr:colOff>568325</xdr:colOff>
      <xdr:row>15</xdr:row>
      <xdr:rowOff>168275</xdr:rowOff>
    </xdr:from>
    <xdr:to>
      <xdr:col>3</xdr:col>
      <xdr:colOff>568325</xdr:colOff>
      <xdr:row>21</xdr:row>
      <xdr:rowOff>73025</xdr:rowOff>
    </xdr:to>
    <xdr:cxnSp macro="">
      <xdr:nvCxnSpPr>
        <xdr:cNvPr id="3992" name="Connecteur droit 3991"/>
        <xdr:cNvCxnSpPr/>
      </xdr:nvCxnSpPr>
      <xdr:spPr>
        <a:xfrm>
          <a:off x="4826000" y="4445000"/>
          <a:ext cx="0" cy="10477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504825</xdr:colOff>
      <xdr:row>17</xdr:row>
      <xdr:rowOff>104775</xdr:rowOff>
    </xdr:from>
    <xdr:ext cx="356893" cy="635000"/>
    <xdr:sp macro="" textlink="">
      <xdr:nvSpPr>
        <xdr:cNvPr id="3993" name="ZoneTexte 3992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0</xdr:col>
      <xdr:colOff>558800</xdr:colOff>
      <xdr:row>17</xdr:row>
      <xdr:rowOff>85725</xdr:rowOff>
    </xdr:from>
    <xdr:to>
      <xdr:col>0</xdr:col>
      <xdr:colOff>1257300</xdr:colOff>
      <xdr:row>21</xdr:row>
      <xdr:rowOff>22225</xdr:rowOff>
    </xdr:to>
    <xdr:sp macro="" textlink="">
      <xdr:nvSpPr>
        <xdr:cNvPr id="3994" name="Ellipse 3993"/>
        <xdr:cNvSpPr/>
      </xdr:nvSpPr>
      <xdr:spPr>
        <a:xfrm>
          <a:off x="558800" y="4743450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15</xdr:row>
          <xdr:rowOff>38100</xdr:rowOff>
        </xdr:from>
        <xdr:to>
          <xdr:col>21</xdr:col>
          <xdr:colOff>95250</xdr:colOff>
          <xdr:row>16</xdr:row>
          <xdr:rowOff>161925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18</xdr:row>
          <xdr:rowOff>28575</xdr:rowOff>
        </xdr:from>
        <xdr:to>
          <xdr:col>21</xdr:col>
          <xdr:colOff>66675</xdr:colOff>
          <xdr:row>20</xdr:row>
          <xdr:rowOff>28575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98235</xdr:colOff>
      <xdr:row>16</xdr:row>
      <xdr:rowOff>25400</xdr:rowOff>
    </xdr:from>
    <xdr:to>
      <xdr:col>1</xdr:col>
      <xdr:colOff>98235</xdr:colOff>
      <xdr:row>27</xdr:row>
      <xdr:rowOff>25400</xdr:rowOff>
    </xdr:to>
    <xdr:cxnSp macro="">
      <xdr:nvCxnSpPr>
        <xdr:cNvPr id="6376" name="Connecteur droit 6375"/>
        <xdr:cNvCxnSpPr/>
      </xdr:nvCxnSpPr>
      <xdr:spPr>
        <a:xfrm>
          <a:off x="132696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22</xdr:row>
      <xdr:rowOff>158941</xdr:rowOff>
    </xdr:from>
    <xdr:to>
      <xdr:col>1</xdr:col>
      <xdr:colOff>98235</xdr:colOff>
      <xdr:row>22</xdr:row>
      <xdr:rowOff>158941</xdr:rowOff>
    </xdr:to>
    <xdr:cxnSp macro="">
      <xdr:nvCxnSpPr>
        <xdr:cNvPr id="6377" name="Connecteur droit 6376"/>
        <xdr:cNvCxnSpPr/>
      </xdr:nvCxnSpPr>
      <xdr:spPr>
        <a:xfrm>
          <a:off x="508000" y="5721541"/>
          <a:ext cx="81896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28</xdr:row>
      <xdr:rowOff>25400</xdr:rowOff>
    </xdr:from>
    <xdr:to>
      <xdr:col>1</xdr:col>
      <xdr:colOff>98235</xdr:colOff>
      <xdr:row>28</xdr:row>
      <xdr:rowOff>25400</xdr:rowOff>
    </xdr:to>
    <xdr:cxnSp macro="">
      <xdr:nvCxnSpPr>
        <xdr:cNvPr id="6378" name="Connecteur droit 6377"/>
        <xdr:cNvCxnSpPr/>
      </xdr:nvCxnSpPr>
      <xdr:spPr>
        <a:xfrm>
          <a:off x="508000" y="6731000"/>
          <a:ext cx="81896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27</xdr:row>
      <xdr:rowOff>25400</xdr:rowOff>
    </xdr:from>
    <xdr:ext cx="1644460" cy="264560"/>
    <xdr:sp macro="" textlink="">
      <xdr:nvSpPr>
        <xdr:cNvPr id="6379" name="ZoneTexte 6378"/>
        <xdr:cNvSpPr txBox="1"/>
      </xdr:nvSpPr>
      <xdr:spPr>
        <a:xfrm>
          <a:off x="635000" y="6540500"/>
          <a:ext cx="16444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1027</a:t>
          </a:r>
        </a:p>
      </xdr:txBody>
    </xdr:sp>
    <xdr:clientData/>
  </xdr:oneCellAnchor>
  <xdr:twoCellAnchor>
    <xdr:from>
      <xdr:col>0</xdr:col>
      <xdr:colOff>317500</xdr:colOff>
      <xdr:row>22</xdr:row>
      <xdr:rowOff>158941</xdr:rowOff>
    </xdr:from>
    <xdr:to>
      <xdr:col>0</xdr:col>
      <xdr:colOff>317500</xdr:colOff>
      <xdr:row>27</xdr:row>
      <xdr:rowOff>25400</xdr:rowOff>
    </xdr:to>
    <xdr:cxnSp macro="">
      <xdr:nvCxnSpPr>
        <xdr:cNvPr id="6380" name="Connecteur droit 6379"/>
        <xdr:cNvCxnSpPr/>
      </xdr:nvCxnSpPr>
      <xdr:spPr>
        <a:xfrm flipV="1">
          <a:off x="317500" y="5721541"/>
          <a:ext cx="0" cy="818959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23</xdr:row>
      <xdr:rowOff>31941</xdr:rowOff>
    </xdr:from>
    <xdr:ext cx="356893" cy="635000"/>
    <xdr:sp macro="" textlink="">
      <xdr:nvSpPr>
        <xdr:cNvPr id="6381" name="ZoneTexte 6380"/>
        <xdr:cNvSpPr txBox="1"/>
      </xdr:nvSpPr>
      <xdr:spPr>
        <a:xfrm>
          <a:off x="254000" y="5785041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1027</a:t>
          </a:r>
        </a:p>
      </xdr:txBody>
    </xdr:sp>
    <xdr:clientData/>
  </xdr:oneCellAnchor>
  <xdr:twoCellAnchor>
    <xdr:from>
      <xdr:col>0</xdr:col>
      <xdr:colOff>317500</xdr:colOff>
      <xdr:row>16</xdr:row>
      <xdr:rowOff>25400</xdr:rowOff>
    </xdr:from>
    <xdr:to>
      <xdr:col>0</xdr:col>
      <xdr:colOff>317500</xdr:colOff>
      <xdr:row>22</xdr:row>
      <xdr:rowOff>158941</xdr:rowOff>
    </xdr:to>
    <xdr:cxnSp macro="">
      <xdr:nvCxnSpPr>
        <xdr:cNvPr id="6382" name="Connecteur droit 6381"/>
        <xdr:cNvCxnSpPr/>
      </xdr:nvCxnSpPr>
      <xdr:spPr>
        <a:xfrm flipV="1">
          <a:off x="317500" y="4445000"/>
          <a:ext cx="0" cy="1276541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16</xdr:row>
      <xdr:rowOff>88900</xdr:rowOff>
    </xdr:from>
    <xdr:ext cx="356893" cy="635000"/>
    <xdr:sp macro="" textlink="">
      <xdr:nvSpPr>
        <xdr:cNvPr id="6383" name="ZoneTexte 6382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1973</a:t>
          </a:r>
        </a:p>
      </xdr:txBody>
    </xdr:sp>
    <xdr:clientData/>
  </xdr:oneCellAnchor>
  <xdr:twoCellAnchor>
    <xdr:from>
      <xdr:col>0</xdr:col>
      <xdr:colOff>508000</xdr:colOff>
      <xdr:row>16</xdr:row>
      <xdr:rowOff>25400</xdr:rowOff>
    </xdr:from>
    <xdr:to>
      <xdr:col>4</xdr:col>
      <xdr:colOff>260350</xdr:colOff>
      <xdr:row>27</xdr:row>
      <xdr:rowOff>25400</xdr:rowOff>
    </xdr:to>
    <xdr:sp macro="" textlink="">
      <xdr:nvSpPr>
        <xdr:cNvPr id="6384" name="Rectangle 6383"/>
        <xdr:cNvSpPr/>
      </xdr:nvSpPr>
      <xdr:spPr>
        <a:xfrm>
          <a:off x="508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15</xdr:row>
      <xdr:rowOff>88900</xdr:rowOff>
    </xdr:from>
    <xdr:to>
      <xdr:col>4</xdr:col>
      <xdr:colOff>260350</xdr:colOff>
      <xdr:row>15</xdr:row>
      <xdr:rowOff>88900</xdr:rowOff>
    </xdr:to>
    <xdr:cxnSp macro="">
      <xdr:nvCxnSpPr>
        <xdr:cNvPr id="6385" name="Connecteur droit 6384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14</xdr:row>
      <xdr:rowOff>88900</xdr:rowOff>
    </xdr:from>
    <xdr:ext cx="5016500" cy="264560"/>
    <xdr:sp macro="" textlink="">
      <xdr:nvSpPr>
        <xdr:cNvPr id="6386" name="ZoneTexte 6385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387350</xdr:colOff>
      <xdr:row>16</xdr:row>
      <xdr:rowOff>25400</xdr:rowOff>
    </xdr:from>
    <xdr:to>
      <xdr:col>4</xdr:col>
      <xdr:colOff>387350</xdr:colOff>
      <xdr:row>27</xdr:row>
      <xdr:rowOff>25400</xdr:rowOff>
    </xdr:to>
    <xdr:cxnSp macro="">
      <xdr:nvCxnSpPr>
        <xdr:cNvPr id="6387" name="Connecteur droit 6386"/>
        <xdr:cNvCxnSpPr/>
      </xdr:nvCxnSpPr>
      <xdr:spPr>
        <a:xfrm>
          <a:off x="4826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323850</xdr:colOff>
      <xdr:row>17</xdr:row>
      <xdr:rowOff>152400</xdr:rowOff>
    </xdr:from>
    <xdr:ext cx="356893" cy="635000"/>
    <xdr:sp macro="" textlink="">
      <xdr:nvSpPr>
        <xdr:cNvPr id="6388" name="ZoneTexte 6387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0</xdr:col>
      <xdr:colOff>558800</xdr:colOff>
      <xdr:row>23</xdr:row>
      <xdr:rowOff>38100</xdr:rowOff>
    </xdr:from>
    <xdr:to>
      <xdr:col>1</xdr:col>
      <xdr:colOff>28575</xdr:colOff>
      <xdr:row>26</xdr:row>
      <xdr:rowOff>165100</xdr:rowOff>
    </xdr:to>
    <xdr:sp macro="" textlink="">
      <xdr:nvSpPr>
        <xdr:cNvPr id="6389" name="Rectangle 6388"/>
        <xdr:cNvSpPr/>
      </xdr:nvSpPr>
      <xdr:spPr>
        <a:xfrm>
          <a:off x="558800" y="5791200"/>
          <a:ext cx="698500" cy="69850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657225</xdr:colOff>
          <xdr:row>11</xdr:row>
          <xdr:rowOff>171450</xdr:rowOff>
        </xdr:from>
        <xdr:to>
          <xdr:col>15</xdr:col>
          <xdr:colOff>523875</xdr:colOff>
          <xdr:row>14</xdr:row>
          <xdr:rowOff>9525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910654</xdr:colOff>
      <xdr:row>16</xdr:row>
      <xdr:rowOff>149225</xdr:rowOff>
    </xdr:from>
    <xdr:to>
      <xdr:col>0</xdr:col>
      <xdr:colOff>910654</xdr:colOff>
      <xdr:row>27</xdr:row>
      <xdr:rowOff>149225</xdr:rowOff>
    </xdr:to>
    <xdr:cxnSp macro="">
      <xdr:nvCxnSpPr>
        <xdr:cNvPr id="4519" name="Connecteur droit 4518"/>
        <xdr:cNvCxnSpPr/>
      </xdr:nvCxnSpPr>
      <xdr:spPr>
        <a:xfrm>
          <a:off x="910654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25</xdr:row>
      <xdr:rowOff>127572</xdr:rowOff>
    </xdr:from>
    <xdr:to>
      <xdr:col>0</xdr:col>
      <xdr:colOff>910654</xdr:colOff>
      <xdr:row>25</xdr:row>
      <xdr:rowOff>127572</xdr:rowOff>
    </xdr:to>
    <xdr:cxnSp macro="">
      <xdr:nvCxnSpPr>
        <xdr:cNvPr id="4520" name="Connecteur droit 4519"/>
        <xdr:cNvCxnSpPr/>
      </xdr:nvCxnSpPr>
      <xdr:spPr>
        <a:xfrm>
          <a:off x="508000" y="6137847"/>
          <a:ext cx="402654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28</xdr:row>
      <xdr:rowOff>149225</xdr:rowOff>
    </xdr:from>
    <xdr:to>
      <xdr:col>0</xdr:col>
      <xdr:colOff>910654</xdr:colOff>
      <xdr:row>28</xdr:row>
      <xdr:rowOff>149225</xdr:rowOff>
    </xdr:to>
    <xdr:cxnSp macro="">
      <xdr:nvCxnSpPr>
        <xdr:cNvPr id="4521" name="Connecteur droit 4520"/>
        <xdr:cNvCxnSpPr/>
      </xdr:nvCxnSpPr>
      <xdr:spPr>
        <a:xfrm>
          <a:off x="508000" y="6731000"/>
          <a:ext cx="402654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27</xdr:row>
      <xdr:rowOff>149225</xdr:rowOff>
    </xdr:from>
    <xdr:ext cx="1228154" cy="264560"/>
    <xdr:sp macro="" textlink="">
      <xdr:nvSpPr>
        <xdr:cNvPr id="4522" name="ZoneTexte 4521"/>
        <xdr:cNvSpPr txBox="1"/>
      </xdr:nvSpPr>
      <xdr:spPr>
        <a:xfrm>
          <a:off x="635000" y="6540500"/>
          <a:ext cx="122815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431</a:t>
          </a:r>
        </a:p>
      </xdr:txBody>
    </xdr:sp>
    <xdr:clientData/>
  </xdr:oneCellAnchor>
  <xdr:twoCellAnchor>
    <xdr:from>
      <xdr:col>0</xdr:col>
      <xdr:colOff>317500</xdr:colOff>
      <xdr:row>25</xdr:row>
      <xdr:rowOff>127572</xdr:rowOff>
    </xdr:from>
    <xdr:to>
      <xdr:col>0</xdr:col>
      <xdr:colOff>317500</xdr:colOff>
      <xdr:row>27</xdr:row>
      <xdr:rowOff>149225</xdr:rowOff>
    </xdr:to>
    <xdr:cxnSp macro="">
      <xdr:nvCxnSpPr>
        <xdr:cNvPr id="4523" name="Connecteur droit 4522"/>
        <xdr:cNvCxnSpPr/>
      </xdr:nvCxnSpPr>
      <xdr:spPr>
        <a:xfrm flipV="1">
          <a:off x="317500" y="6137847"/>
          <a:ext cx="0" cy="402653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26</xdr:row>
      <xdr:rowOff>572</xdr:rowOff>
    </xdr:from>
    <xdr:ext cx="356893" cy="635000"/>
    <xdr:sp macro="" textlink="">
      <xdr:nvSpPr>
        <xdr:cNvPr id="4524" name="ZoneTexte 4523"/>
        <xdr:cNvSpPr txBox="1"/>
      </xdr:nvSpPr>
      <xdr:spPr>
        <a:xfrm>
          <a:off x="254000" y="6201347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431</a:t>
          </a:r>
        </a:p>
      </xdr:txBody>
    </xdr:sp>
    <xdr:clientData/>
  </xdr:oneCellAnchor>
  <xdr:twoCellAnchor>
    <xdr:from>
      <xdr:col>0</xdr:col>
      <xdr:colOff>317500</xdr:colOff>
      <xdr:row>16</xdr:row>
      <xdr:rowOff>149225</xdr:rowOff>
    </xdr:from>
    <xdr:to>
      <xdr:col>0</xdr:col>
      <xdr:colOff>317500</xdr:colOff>
      <xdr:row>25</xdr:row>
      <xdr:rowOff>127572</xdr:rowOff>
    </xdr:to>
    <xdr:cxnSp macro="">
      <xdr:nvCxnSpPr>
        <xdr:cNvPr id="4525" name="Connecteur droit 4524"/>
        <xdr:cNvCxnSpPr/>
      </xdr:nvCxnSpPr>
      <xdr:spPr>
        <a:xfrm flipV="1">
          <a:off x="317500" y="4445000"/>
          <a:ext cx="0" cy="169284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17</xdr:row>
      <xdr:rowOff>22225</xdr:rowOff>
    </xdr:from>
    <xdr:ext cx="356893" cy="635000"/>
    <xdr:sp macro="" textlink="">
      <xdr:nvSpPr>
        <xdr:cNvPr id="4526" name="ZoneTexte 4525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2569</a:t>
          </a:r>
        </a:p>
      </xdr:txBody>
    </xdr:sp>
    <xdr:clientData/>
  </xdr:oneCellAnchor>
  <xdr:twoCellAnchor>
    <xdr:from>
      <xdr:col>0</xdr:col>
      <xdr:colOff>508000</xdr:colOff>
      <xdr:row>16</xdr:row>
      <xdr:rowOff>149225</xdr:rowOff>
    </xdr:from>
    <xdr:to>
      <xdr:col>3</xdr:col>
      <xdr:colOff>565150</xdr:colOff>
      <xdr:row>27</xdr:row>
      <xdr:rowOff>149225</xdr:rowOff>
    </xdr:to>
    <xdr:sp macro="" textlink="">
      <xdr:nvSpPr>
        <xdr:cNvPr id="4527" name="Rectangle 4526"/>
        <xdr:cNvSpPr/>
      </xdr:nvSpPr>
      <xdr:spPr>
        <a:xfrm>
          <a:off x="508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16</xdr:row>
      <xdr:rowOff>22225</xdr:rowOff>
    </xdr:from>
    <xdr:to>
      <xdr:col>3</xdr:col>
      <xdr:colOff>565150</xdr:colOff>
      <xdr:row>16</xdr:row>
      <xdr:rowOff>22225</xdr:rowOff>
    </xdr:to>
    <xdr:cxnSp macro="">
      <xdr:nvCxnSpPr>
        <xdr:cNvPr id="4528" name="Connecteur droit 4527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15</xdr:row>
      <xdr:rowOff>22225</xdr:rowOff>
    </xdr:from>
    <xdr:ext cx="5016500" cy="264560"/>
    <xdr:sp macro="" textlink="">
      <xdr:nvSpPr>
        <xdr:cNvPr id="4529" name="ZoneTexte 4528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3</xdr:col>
      <xdr:colOff>692150</xdr:colOff>
      <xdr:row>16</xdr:row>
      <xdr:rowOff>149225</xdr:rowOff>
    </xdr:from>
    <xdr:to>
      <xdr:col>3</xdr:col>
      <xdr:colOff>692150</xdr:colOff>
      <xdr:row>27</xdr:row>
      <xdr:rowOff>149225</xdr:rowOff>
    </xdr:to>
    <xdr:cxnSp macro="">
      <xdr:nvCxnSpPr>
        <xdr:cNvPr id="4530" name="Connecteur droit 4529"/>
        <xdr:cNvCxnSpPr/>
      </xdr:nvCxnSpPr>
      <xdr:spPr>
        <a:xfrm>
          <a:off x="4826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628650</xdr:colOff>
      <xdr:row>18</xdr:row>
      <xdr:rowOff>85725</xdr:rowOff>
    </xdr:from>
    <xdr:ext cx="356893" cy="635000"/>
    <xdr:sp macro="" textlink="">
      <xdr:nvSpPr>
        <xdr:cNvPr id="4531" name="ZoneTexte 4530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0</xdr:col>
      <xdr:colOff>558800</xdr:colOff>
      <xdr:row>26</xdr:row>
      <xdr:rowOff>9525</xdr:rowOff>
    </xdr:from>
    <xdr:to>
      <xdr:col>0</xdr:col>
      <xdr:colOff>838200</xdr:colOff>
      <xdr:row>27</xdr:row>
      <xdr:rowOff>98425</xdr:rowOff>
    </xdr:to>
    <xdr:sp macro="" textlink="">
      <xdr:nvSpPr>
        <xdr:cNvPr id="4532" name="Triangle rectangle 4531"/>
        <xdr:cNvSpPr/>
      </xdr:nvSpPr>
      <xdr:spPr>
        <a:xfrm>
          <a:off x="558800" y="6210300"/>
          <a:ext cx="279400" cy="27940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910654</xdr:colOff>
      <xdr:row>16</xdr:row>
      <xdr:rowOff>149225</xdr:rowOff>
    </xdr:from>
    <xdr:to>
      <xdr:col>0</xdr:col>
      <xdr:colOff>910654</xdr:colOff>
      <xdr:row>27</xdr:row>
      <xdr:rowOff>149225</xdr:rowOff>
    </xdr:to>
    <xdr:cxnSp macro="">
      <xdr:nvCxnSpPr>
        <xdr:cNvPr id="657" name="Connecteur droit 656"/>
        <xdr:cNvCxnSpPr/>
      </xdr:nvCxnSpPr>
      <xdr:spPr>
        <a:xfrm>
          <a:off x="910654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24</xdr:row>
      <xdr:rowOff>178372</xdr:rowOff>
    </xdr:from>
    <xdr:to>
      <xdr:col>0</xdr:col>
      <xdr:colOff>910654</xdr:colOff>
      <xdr:row>24</xdr:row>
      <xdr:rowOff>178372</xdr:rowOff>
    </xdr:to>
    <xdr:cxnSp macro="">
      <xdr:nvCxnSpPr>
        <xdr:cNvPr id="658" name="Connecteur droit 657"/>
        <xdr:cNvCxnSpPr/>
      </xdr:nvCxnSpPr>
      <xdr:spPr>
        <a:xfrm>
          <a:off x="508000" y="5998147"/>
          <a:ext cx="402654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28</xdr:row>
      <xdr:rowOff>149225</xdr:rowOff>
    </xdr:from>
    <xdr:to>
      <xdr:col>0</xdr:col>
      <xdr:colOff>910654</xdr:colOff>
      <xdr:row>28</xdr:row>
      <xdr:rowOff>149225</xdr:rowOff>
    </xdr:to>
    <xdr:cxnSp macro="">
      <xdr:nvCxnSpPr>
        <xdr:cNvPr id="659" name="Connecteur droit 658"/>
        <xdr:cNvCxnSpPr/>
      </xdr:nvCxnSpPr>
      <xdr:spPr>
        <a:xfrm>
          <a:off x="508000" y="6731000"/>
          <a:ext cx="402654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27</xdr:row>
      <xdr:rowOff>149225</xdr:rowOff>
    </xdr:from>
    <xdr:ext cx="1228154" cy="264560"/>
    <xdr:sp macro="" textlink="">
      <xdr:nvSpPr>
        <xdr:cNvPr id="660" name="ZoneTexte 659"/>
        <xdr:cNvSpPr txBox="1"/>
      </xdr:nvSpPr>
      <xdr:spPr>
        <a:xfrm>
          <a:off x="635000" y="6540500"/>
          <a:ext cx="122815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431</a:t>
          </a:r>
        </a:p>
      </xdr:txBody>
    </xdr:sp>
    <xdr:clientData/>
  </xdr:oneCellAnchor>
  <xdr:twoCellAnchor>
    <xdr:from>
      <xdr:col>0</xdr:col>
      <xdr:colOff>317500</xdr:colOff>
      <xdr:row>24</xdr:row>
      <xdr:rowOff>178372</xdr:rowOff>
    </xdr:from>
    <xdr:to>
      <xdr:col>0</xdr:col>
      <xdr:colOff>317500</xdr:colOff>
      <xdr:row>27</xdr:row>
      <xdr:rowOff>149225</xdr:rowOff>
    </xdr:to>
    <xdr:cxnSp macro="">
      <xdr:nvCxnSpPr>
        <xdr:cNvPr id="661" name="Connecteur droit 660"/>
        <xdr:cNvCxnSpPr/>
      </xdr:nvCxnSpPr>
      <xdr:spPr>
        <a:xfrm flipV="1">
          <a:off x="317500" y="5998147"/>
          <a:ext cx="0" cy="542353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25</xdr:row>
      <xdr:rowOff>51372</xdr:rowOff>
    </xdr:from>
    <xdr:ext cx="356893" cy="635000"/>
    <xdr:sp macro="" textlink="">
      <xdr:nvSpPr>
        <xdr:cNvPr id="662" name="ZoneTexte 661"/>
        <xdr:cNvSpPr txBox="1"/>
      </xdr:nvSpPr>
      <xdr:spPr>
        <a:xfrm>
          <a:off x="254000" y="6061647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631</a:t>
          </a:r>
        </a:p>
      </xdr:txBody>
    </xdr:sp>
    <xdr:clientData/>
  </xdr:oneCellAnchor>
  <xdr:twoCellAnchor>
    <xdr:from>
      <xdr:col>0</xdr:col>
      <xdr:colOff>317500</xdr:colOff>
      <xdr:row>16</xdr:row>
      <xdr:rowOff>149225</xdr:rowOff>
    </xdr:from>
    <xdr:to>
      <xdr:col>0</xdr:col>
      <xdr:colOff>317500</xdr:colOff>
      <xdr:row>24</xdr:row>
      <xdr:rowOff>178372</xdr:rowOff>
    </xdr:to>
    <xdr:cxnSp macro="">
      <xdr:nvCxnSpPr>
        <xdr:cNvPr id="663" name="Connecteur droit 662"/>
        <xdr:cNvCxnSpPr/>
      </xdr:nvCxnSpPr>
      <xdr:spPr>
        <a:xfrm flipV="1">
          <a:off x="317500" y="4445000"/>
          <a:ext cx="0" cy="155314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17</xdr:row>
      <xdr:rowOff>22225</xdr:rowOff>
    </xdr:from>
    <xdr:ext cx="356893" cy="635000"/>
    <xdr:sp macro="" textlink="">
      <xdr:nvSpPr>
        <xdr:cNvPr id="664" name="ZoneTexte 663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2369</a:t>
          </a:r>
        </a:p>
      </xdr:txBody>
    </xdr:sp>
    <xdr:clientData/>
  </xdr:oneCellAnchor>
  <xdr:twoCellAnchor>
    <xdr:from>
      <xdr:col>0</xdr:col>
      <xdr:colOff>508000</xdr:colOff>
      <xdr:row>16</xdr:row>
      <xdr:rowOff>149225</xdr:rowOff>
    </xdr:from>
    <xdr:to>
      <xdr:col>4</xdr:col>
      <xdr:colOff>50800</xdr:colOff>
      <xdr:row>27</xdr:row>
      <xdr:rowOff>149225</xdr:rowOff>
    </xdr:to>
    <xdr:sp macro="" textlink="">
      <xdr:nvSpPr>
        <xdr:cNvPr id="665" name="Rectangle 664"/>
        <xdr:cNvSpPr/>
      </xdr:nvSpPr>
      <xdr:spPr>
        <a:xfrm>
          <a:off x="508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16</xdr:row>
      <xdr:rowOff>22225</xdr:rowOff>
    </xdr:from>
    <xdr:to>
      <xdr:col>4</xdr:col>
      <xdr:colOff>50800</xdr:colOff>
      <xdr:row>16</xdr:row>
      <xdr:rowOff>22225</xdr:rowOff>
    </xdr:to>
    <xdr:cxnSp macro="">
      <xdr:nvCxnSpPr>
        <xdr:cNvPr id="666" name="Connecteur droit 665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15</xdr:row>
      <xdr:rowOff>22225</xdr:rowOff>
    </xdr:from>
    <xdr:ext cx="5016500" cy="264560"/>
    <xdr:sp macro="" textlink="">
      <xdr:nvSpPr>
        <xdr:cNvPr id="667" name="ZoneTexte 666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177800</xdr:colOff>
      <xdr:row>16</xdr:row>
      <xdr:rowOff>149225</xdr:rowOff>
    </xdr:from>
    <xdr:to>
      <xdr:col>4</xdr:col>
      <xdr:colOff>177800</xdr:colOff>
      <xdr:row>27</xdr:row>
      <xdr:rowOff>149225</xdr:rowOff>
    </xdr:to>
    <xdr:cxnSp macro="">
      <xdr:nvCxnSpPr>
        <xdr:cNvPr id="668" name="Connecteur droit 667"/>
        <xdr:cNvCxnSpPr/>
      </xdr:nvCxnSpPr>
      <xdr:spPr>
        <a:xfrm>
          <a:off x="4826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114300</xdr:colOff>
      <xdr:row>18</xdr:row>
      <xdr:rowOff>85725</xdr:rowOff>
    </xdr:from>
    <xdr:ext cx="356893" cy="635000"/>
    <xdr:sp macro="" textlink="">
      <xdr:nvSpPr>
        <xdr:cNvPr id="669" name="ZoneTexte 668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0</xdr:col>
      <xdr:colOff>558800</xdr:colOff>
      <xdr:row>25</xdr:row>
      <xdr:rowOff>60325</xdr:rowOff>
    </xdr:from>
    <xdr:to>
      <xdr:col>0</xdr:col>
      <xdr:colOff>838200</xdr:colOff>
      <xdr:row>27</xdr:row>
      <xdr:rowOff>98425</xdr:rowOff>
    </xdr:to>
    <xdr:sp macro="" textlink="">
      <xdr:nvSpPr>
        <xdr:cNvPr id="670" name="Triangle isocèle 669"/>
        <xdr:cNvSpPr/>
      </xdr:nvSpPr>
      <xdr:spPr>
        <a:xfrm>
          <a:off x="558800" y="6070600"/>
          <a:ext cx="279400" cy="41910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7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tabSelected="1" workbookViewId="0">
      <selection activeCell="AA1" sqref="AA1"/>
    </sheetView>
  </sheetViews>
  <sheetFormatPr baseColWidth="10" defaultRowHeight="15" x14ac:dyDescent="0.25"/>
  <sheetData/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AG33"/>
  <sheetViews>
    <sheetView topLeftCell="N1" workbookViewId="0">
      <pane ySplit="3" topLeftCell="A4" activePane="bottomLeft" state="frozen"/>
      <selection activeCell="T34" sqref="T33:T34"/>
      <selection pane="bottomLeft" activeCell="T34" sqref="T33:T34"/>
    </sheetView>
  </sheetViews>
  <sheetFormatPr baseColWidth="10" defaultRowHeight="15" x14ac:dyDescent="0.25"/>
  <cols>
    <col min="1" max="1" width="19.42578125" style="3" bestFit="1" customWidth="1"/>
    <col min="2" max="2" width="19.42578125" style="3" customWidth="1"/>
    <col min="3" max="3" width="29.7109375" style="3" customWidth="1"/>
    <col min="4" max="4" width="17" style="3" bestFit="1" customWidth="1"/>
    <col min="5" max="5" width="9.28515625" style="3" bestFit="1" customWidth="1"/>
    <col min="6" max="6" width="7.5703125" style="3" bestFit="1" customWidth="1"/>
    <col min="7" max="7" width="11" style="3" customWidth="1"/>
    <col min="8" max="8" width="8.28515625" style="3" bestFit="1" customWidth="1"/>
    <col min="9" max="9" width="11.42578125" style="3"/>
    <col min="10" max="10" width="10.7109375" style="3" bestFit="1" customWidth="1"/>
    <col min="11" max="11" width="10.28515625" style="3" customWidth="1"/>
    <col min="12" max="12" width="9.140625" style="3" customWidth="1"/>
    <col min="13" max="13" width="6.28515625" style="3" customWidth="1"/>
    <col min="14" max="14" width="6.85546875" style="3" customWidth="1"/>
    <col min="15" max="16" width="4.5703125" style="3" customWidth="1"/>
    <col min="17" max="17" width="6.140625" style="3" customWidth="1"/>
    <col min="18" max="18" width="9.28515625" style="3" customWidth="1"/>
    <col min="19" max="19" width="7.5703125" style="3" customWidth="1"/>
    <col min="20" max="21" width="9.28515625" style="3" customWidth="1"/>
    <col min="22" max="22" width="7.5703125" style="3" customWidth="1"/>
    <col min="23" max="23" width="9.28515625" style="3" customWidth="1"/>
    <col min="24" max="25" width="7.5703125" style="3" customWidth="1"/>
    <col min="26" max="26" width="11.42578125" style="3"/>
    <col min="27" max="27" width="14.140625" style="3" customWidth="1"/>
    <col min="28" max="33" width="11.42578125" style="3" customWidth="1"/>
    <col min="34" max="16384" width="11.42578125" style="3"/>
  </cols>
  <sheetData>
    <row r="2" spans="1:33" x14ac:dyDescent="0.25">
      <c r="AE2" s="3">
        <v>1</v>
      </c>
      <c r="AG2" s="3" t="s">
        <v>35</v>
      </c>
    </row>
    <row r="3" spans="1:33" ht="27" thickBot="1" x14ac:dyDescent="0.45">
      <c r="A3" s="94" t="s">
        <v>15</v>
      </c>
      <c r="B3" s="95"/>
      <c r="C3" s="95"/>
      <c r="E3"/>
      <c r="F3"/>
      <c r="G3"/>
      <c r="AE3" s="3">
        <v>2</v>
      </c>
      <c r="AG3" s="3">
        <v>5</v>
      </c>
    </row>
    <row r="4" spans="1:33" ht="21.75" thickBot="1" x14ac:dyDescent="0.4">
      <c r="A4" s="25" t="s">
        <v>13</v>
      </c>
      <c r="B4" s="26" t="s">
        <v>0</v>
      </c>
      <c r="C4" s="36" t="s">
        <v>42</v>
      </c>
    </row>
    <row r="5" spans="1:33" ht="18.75" x14ac:dyDescent="0.3">
      <c r="A5" s="114">
        <f>(1-(S7/V7))</f>
        <v>0.30051766617320674</v>
      </c>
      <c r="B5" s="121">
        <f>(1-(S7/W9))</f>
        <v>0.51922247588305082</v>
      </c>
      <c r="C5" s="35" t="s">
        <v>36</v>
      </c>
      <c r="D5" s="111" t="s">
        <v>9</v>
      </c>
      <c r="E5" s="84" t="s">
        <v>28</v>
      </c>
      <c r="F5" s="85"/>
      <c r="G5" s="85"/>
      <c r="H5" s="86"/>
      <c r="I5" s="91" t="s">
        <v>9</v>
      </c>
      <c r="J5" s="92"/>
      <c r="M5" s="84" t="s">
        <v>19</v>
      </c>
      <c r="N5" s="85"/>
      <c r="O5" s="85"/>
      <c r="P5" s="86"/>
      <c r="Q5" s="84" t="s">
        <v>23</v>
      </c>
      <c r="R5" s="85"/>
      <c r="S5" s="86"/>
      <c r="T5" s="84" t="s">
        <v>1</v>
      </c>
      <c r="U5" s="85"/>
      <c r="V5" s="86"/>
      <c r="W5" s="84" t="s">
        <v>29</v>
      </c>
      <c r="X5" s="85"/>
      <c r="Y5" s="86"/>
    </row>
    <row r="6" spans="1:33" ht="15" customHeight="1" x14ac:dyDescent="0.25">
      <c r="A6" s="115"/>
      <c r="B6" s="122"/>
      <c r="C6" s="96">
        <v>1</v>
      </c>
      <c r="D6" s="112"/>
      <c r="E6" s="5" t="s">
        <v>2</v>
      </c>
      <c r="F6" s="6" t="s">
        <v>3</v>
      </c>
      <c r="G6" s="82" t="s">
        <v>18</v>
      </c>
      <c r="H6" s="83"/>
      <c r="I6" s="5" t="s">
        <v>20</v>
      </c>
      <c r="J6" s="7" t="s">
        <v>21</v>
      </c>
      <c r="M6" s="100" t="s">
        <v>26</v>
      </c>
      <c r="N6" s="101"/>
      <c r="O6" s="129" t="s">
        <v>27</v>
      </c>
      <c r="P6" s="83"/>
      <c r="Q6" s="8" t="s">
        <v>6</v>
      </c>
      <c r="R6" s="6" t="s">
        <v>7</v>
      </c>
      <c r="S6" s="9" t="s">
        <v>8</v>
      </c>
      <c r="T6" s="8" t="s">
        <v>2</v>
      </c>
      <c r="U6" s="6" t="s">
        <v>3</v>
      </c>
      <c r="V6" s="9" t="s">
        <v>5</v>
      </c>
      <c r="W6" s="8" t="s">
        <v>2</v>
      </c>
      <c r="X6" s="6" t="s">
        <v>3</v>
      </c>
      <c r="Y6" s="9" t="s">
        <v>5</v>
      </c>
    </row>
    <row r="7" spans="1:33" ht="15.75" customHeight="1" thickBot="1" x14ac:dyDescent="0.3">
      <c r="A7" s="116"/>
      <c r="B7" s="123"/>
      <c r="C7" s="97"/>
      <c r="D7" s="113"/>
      <c r="E7" s="46">
        <v>3000</v>
      </c>
      <c r="F7" s="47">
        <v>1500</v>
      </c>
      <c r="G7" s="24">
        <f>H7/F7</f>
        <v>0.31266666666666665</v>
      </c>
      <c r="H7" s="10">
        <f>F7-U7</f>
        <v>469</v>
      </c>
      <c r="I7" s="49">
        <v>1000</v>
      </c>
      <c r="J7" s="48">
        <v>250</v>
      </c>
      <c r="M7" s="87">
        <v>6</v>
      </c>
      <c r="N7" s="88"/>
      <c r="O7" s="89">
        <v>6</v>
      </c>
      <c r="P7" s="90"/>
      <c r="Q7" s="27">
        <f>(PI()*POWER(I7/2,2))/1000000</f>
        <v>0.78539816339744828</v>
      </c>
      <c r="R7" s="28">
        <f>(PI()*POWER(J7/2,2))/1000000</f>
        <v>4.9087385212340517E-2</v>
      </c>
      <c r="S7" s="29">
        <f>Q7-R7</f>
        <v>0.73631077818510771</v>
      </c>
      <c r="T7" s="14">
        <f>I7+O7+3*AG3</f>
        <v>1021</v>
      </c>
      <c r="U7" s="15">
        <f>I7+M7+5*AG3-IF(1-(I7/F7)&lt;0.15,2*$AG$3,0)</f>
        <v>1031</v>
      </c>
      <c r="V7" s="13">
        <f>(T7*U7)/1000000</f>
        <v>1.052651</v>
      </c>
      <c r="W7" s="14">
        <f>T7</f>
        <v>1021</v>
      </c>
      <c r="X7" s="22">
        <f>F7</f>
        <v>1500</v>
      </c>
      <c r="Y7" s="16">
        <f>(W7*X7)/1000000</f>
        <v>1.5315000000000001</v>
      </c>
    </row>
    <row r="8" spans="1:33" ht="21.75" thickBot="1" x14ac:dyDescent="0.4">
      <c r="A8" s="109" t="s">
        <v>31</v>
      </c>
      <c r="B8" s="120"/>
      <c r="C8" s="35" t="s">
        <v>24</v>
      </c>
      <c r="D8"/>
      <c r="E8" s="75" t="s">
        <v>38</v>
      </c>
      <c r="F8" s="76"/>
      <c r="G8" s="76"/>
      <c r="H8" s="77"/>
      <c r="I8" s="135" t="s">
        <v>30</v>
      </c>
      <c r="J8" s="136"/>
      <c r="M8"/>
      <c r="N8"/>
      <c r="O8"/>
      <c r="P8"/>
      <c r="Q8" s="75" t="s">
        <v>30</v>
      </c>
      <c r="R8" s="76"/>
      <c r="S8" s="77"/>
      <c r="T8" s="81" t="s">
        <v>37</v>
      </c>
      <c r="U8" s="74"/>
      <c r="V8" s="74"/>
      <c r="W8" s="74"/>
      <c r="X8" s="38"/>
      <c r="Y8"/>
    </row>
    <row r="9" spans="1:33" ht="19.5" thickBot="1" x14ac:dyDescent="0.35">
      <c r="A9" s="30">
        <f>1-((S7+P9)/V7)</f>
        <v>0.27083071389747626</v>
      </c>
      <c r="B9" s="34">
        <f>(1-((S7+P9)/W9))</f>
        <v>0.49881764401886541</v>
      </c>
      <c r="C9" s="51">
        <v>1</v>
      </c>
      <c r="D9" s="1"/>
      <c r="E9" s="78">
        <f>C6*H7</f>
        <v>469</v>
      </c>
      <c r="F9" s="79"/>
      <c r="G9" s="79"/>
      <c r="H9" s="80"/>
      <c r="I9" s="78">
        <f>IF(J7&gt;0,1/SQRT(2)*J7,0)</f>
        <v>176.77669529663686</v>
      </c>
      <c r="J9" s="80"/>
      <c r="M9"/>
      <c r="N9"/>
      <c r="O9"/>
      <c r="P9" s="39">
        <f>C9*Q9</f>
        <v>3.1249999999999993E-2</v>
      </c>
      <c r="Q9" s="132">
        <f>(POWER(I9,2))/1000000</f>
        <v>3.1249999999999993E-2</v>
      </c>
      <c r="R9" s="133"/>
      <c r="S9" s="134"/>
      <c r="T9" s="39">
        <f>T7</f>
        <v>1021</v>
      </c>
      <c r="U9" s="39">
        <f>(F7-U7)*C6</f>
        <v>469</v>
      </c>
      <c r="V9" s="40">
        <f>(T9*U9)/1000000</f>
        <v>0.47884900000000002</v>
      </c>
      <c r="W9" s="39">
        <f>V7+V9*C6</f>
        <v>1.5315000000000001</v>
      </c>
      <c r="X9" s="38"/>
      <c r="Y9"/>
    </row>
    <row r="10" spans="1:33" ht="15" customHeight="1" thickBo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 s="4"/>
      <c r="Y10" s="4"/>
      <c r="Z10" s="4"/>
      <c r="AA10" s="4"/>
      <c r="AB10" s="23"/>
    </row>
    <row r="11" spans="1:33" ht="21.75" thickBot="1" x14ac:dyDescent="0.4">
      <c r="A11" s="25" t="s">
        <v>13</v>
      </c>
      <c r="B11" s="41" t="s">
        <v>0</v>
      </c>
      <c r="C11" s="42" t="s">
        <v>42</v>
      </c>
      <c r="D11" s="37"/>
    </row>
    <row r="12" spans="1:33" ht="18.75" x14ac:dyDescent="0.3">
      <c r="A12" s="114">
        <f>1-(S14/V14)</f>
        <v>5.9517351904857407E-2</v>
      </c>
      <c r="B12" s="121">
        <f>1-(S14/W16)</f>
        <v>0.35357492654260536</v>
      </c>
      <c r="C12" s="35" t="s">
        <v>36</v>
      </c>
      <c r="D12" s="117" t="s">
        <v>10</v>
      </c>
      <c r="E12" s="84" t="s">
        <v>28</v>
      </c>
      <c r="F12" s="85"/>
      <c r="G12" s="85"/>
      <c r="H12" s="86"/>
      <c r="I12" s="91" t="s">
        <v>34</v>
      </c>
      <c r="J12" s="92"/>
      <c r="K12" s="91" t="s">
        <v>33</v>
      </c>
      <c r="L12" s="92"/>
      <c r="M12" s="91" t="s">
        <v>19</v>
      </c>
      <c r="N12" s="92"/>
      <c r="O12" s="92"/>
      <c r="P12" s="93"/>
      <c r="Q12" s="84" t="s">
        <v>23</v>
      </c>
      <c r="R12" s="85"/>
      <c r="S12" s="86"/>
      <c r="T12" s="84" t="s">
        <v>1</v>
      </c>
      <c r="U12" s="85"/>
      <c r="V12" s="86"/>
      <c r="W12" s="84" t="s">
        <v>29</v>
      </c>
      <c r="X12" s="85"/>
      <c r="Y12" s="86"/>
      <c r="AA12" s="4"/>
    </row>
    <row r="13" spans="1:33" ht="15" customHeight="1" x14ac:dyDescent="0.25">
      <c r="A13" s="115"/>
      <c r="B13" s="122"/>
      <c r="C13" s="96">
        <v>1</v>
      </c>
      <c r="D13" s="118"/>
      <c r="E13" s="8" t="s">
        <v>2</v>
      </c>
      <c r="F13" s="6" t="s">
        <v>3</v>
      </c>
      <c r="G13" s="82" t="s">
        <v>18</v>
      </c>
      <c r="H13" s="83"/>
      <c r="I13" s="8" t="s">
        <v>2</v>
      </c>
      <c r="J13" s="6" t="s">
        <v>3</v>
      </c>
      <c r="K13" s="8" t="s">
        <v>2</v>
      </c>
      <c r="L13" s="6" t="s">
        <v>3</v>
      </c>
      <c r="M13" s="100" t="s">
        <v>26</v>
      </c>
      <c r="N13" s="101"/>
      <c r="O13" s="129" t="s">
        <v>27</v>
      </c>
      <c r="P13" s="105"/>
      <c r="Q13" s="8" t="s">
        <v>6</v>
      </c>
      <c r="R13" s="6" t="s">
        <v>7</v>
      </c>
      <c r="S13" s="9" t="s">
        <v>8</v>
      </c>
      <c r="T13" s="8" t="s">
        <v>2</v>
      </c>
      <c r="U13" s="6" t="s">
        <v>3</v>
      </c>
      <c r="V13" s="9" t="s">
        <v>5</v>
      </c>
      <c r="W13" s="8" t="s">
        <v>2</v>
      </c>
      <c r="X13" s="6" t="s">
        <v>3</v>
      </c>
      <c r="Y13" s="9" t="s">
        <v>5</v>
      </c>
      <c r="AA13" s="3" t="s">
        <v>14</v>
      </c>
    </row>
    <row r="14" spans="1:33" ht="15.75" customHeight="1" thickBot="1" x14ac:dyDescent="0.3">
      <c r="A14" s="116"/>
      <c r="B14" s="123"/>
      <c r="C14" s="97"/>
      <c r="D14" s="119"/>
      <c r="E14" s="46">
        <v>3000</v>
      </c>
      <c r="F14" s="47">
        <v>1500</v>
      </c>
      <c r="G14" s="24">
        <f>H14/F14</f>
        <v>0.31266666666666665</v>
      </c>
      <c r="H14" s="10">
        <f>F14-U14</f>
        <v>469</v>
      </c>
      <c r="I14" s="46">
        <v>1000</v>
      </c>
      <c r="J14" s="47">
        <v>1000</v>
      </c>
      <c r="K14" s="46">
        <v>100</v>
      </c>
      <c r="L14" s="47">
        <v>100</v>
      </c>
      <c r="M14" s="87">
        <v>6</v>
      </c>
      <c r="N14" s="88"/>
      <c r="O14" s="89">
        <v>6</v>
      </c>
      <c r="P14" s="90"/>
      <c r="Q14" s="11">
        <f xml:space="preserve"> (I14*J14)/1000000</f>
        <v>1</v>
      </c>
      <c r="R14" s="12">
        <f>(K14*L14)/1000000</f>
        <v>0.01</v>
      </c>
      <c r="S14" s="13">
        <f>Q14-R14</f>
        <v>0.99</v>
      </c>
      <c r="T14" s="14">
        <f>I14+O14+3*AG3</f>
        <v>1021</v>
      </c>
      <c r="U14" s="22">
        <f xml:space="preserve"> J14+M14+5*AG3-IF(1-(J14/F14)&lt;0.15,2*$AG$3,0)</f>
        <v>1031</v>
      </c>
      <c r="V14" s="13">
        <f>(T14*U14)/1000000</f>
        <v>1.052651</v>
      </c>
      <c r="W14" s="14">
        <f>T14</f>
        <v>1021</v>
      </c>
      <c r="X14" s="15">
        <f>F14</f>
        <v>1500</v>
      </c>
      <c r="Y14" s="13">
        <f>(W14*X14)/1000000</f>
        <v>1.5315000000000001</v>
      </c>
      <c r="AA14" s="4">
        <f>1-(S14/V14)</f>
        <v>5.9517351904857407E-2</v>
      </c>
      <c r="AB14" s="4">
        <f>1-(S14/Y14)</f>
        <v>0.35357492654260536</v>
      </c>
    </row>
    <row r="15" spans="1:33" ht="21.75" thickBot="1" x14ac:dyDescent="0.4">
      <c r="A15" s="109" t="s">
        <v>32</v>
      </c>
      <c r="B15" s="110"/>
      <c r="C15" s="35" t="s">
        <v>41</v>
      </c>
      <c r="D15"/>
      <c r="E15" s="75" t="s">
        <v>38</v>
      </c>
      <c r="F15" s="76"/>
      <c r="G15" s="76"/>
      <c r="H15" s="77"/>
      <c r="I15"/>
      <c r="J15"/>
      <c r="K15"/>
      <c r="L15"/>
      <c r="M15"/>
      <c r="N15"/>
      <c r="O15"/>
      <c r="P15"/>
      <c r="Q15"/>
      <c r="R15" s="39">
        <f>R14*C16</f>
        <v>0.01</v>
      </c>
      <c r="S15" s="39"/>
      <c r="T15" s="74" t="s">
        <v>37</v>
      </c>
      <c r="U15" s="74"/>
      <c r="V15" s="74"/>
      <c r="W15" s="74"/>
      <c r="X15"/>
      <c r="Y15"/>
      <c r="AA15" s="4"/>
      <c r="AB15" s="4"/>
    </row>
    <row r="16" spans="1:33" ht="19.5" thickBot="1" x14ac:dyDescent="0.35">
      <c r="A16" s="30">
        <f>1-((S14+R15)/V14)</f>
        <v>5.0017527176623555E-2</v>
      </c>
      <c r="B16" s="31">
        <f>1-((S14+R15)/W16)</f>
        <v>0.34704538034606602</v>
      </c>
      <c r="C16" s="51">
        <v>1</v>
      </c>
      <c r="D16"/>
      <c r="E16" s="78">
        <f>C13*H14</f>
        <v>469</v>
      </c>
      <c r="F16" s="79"/>
      <c r="G16" s="79"/>
      <c r="H16" s="80"/>
      <c r="I16"/>
      <c r="J16"/>
      <c r="K16"/>
      <c r="L16"/>
      <c r="M16"/>
      <c r="N16"/>
      <c r="O16"/>
      <c r="P16"/>
      <c r="Q16"/>
      <c r="R16" s="39"/>
      <c r="S16" s="39"/>
      <c r="T16" s="39">
        <f>T14</f>
        <v>1021</v>
      </c>
      <c r="U16" s="39">
        <f>(F14-U14)*C13</f>
        <v>469</v>
      </c>
      <c r="V16" s="40">
        <f>(T16*U16)/1000000</f>
        <v>0.47884900000000002</v>
      </c>
      <c r="W16" s="50">
        <f>V14+V16*C13</f>
        <v>1.5315000000000001</v>
      </c>
      <c r="X16"/>
      <c r="Y16"/>
      <c r="AA16" s="4"/>
      <c r="AB16" s="4"/>
    </row>
    <row r="17" spans="1:28" ht="15.75" thickBot="1" x14ac:dyDescent="0.3">
      <c r="G17" s="18"/>
      <c r="H17" s="18"/>
    </row>
    <row r="18" spans="1:28" ht="21.75" thickBot="1" x14ac:dyDescent="0.4">
      <c r="A18" s="25" t="s">
        <v>13</v>
      </c>
      <c r="B18" s="26" t="s">
        <v>0</v>
      </c>
      <c r="C18" s="42" t="s">
        <v>42</v>
      </c>
    </row>
    <row r="19" spans="1:28" ht="18.75" x14ac:dyDescent="0.3">
      <c r="A19" s="102">
        <f>1-(Q21/V21)</f>
        <v>0.1297416028767262</v>
      </c>
      <c r="B19" s="106">
        <f>1-(Q21/W23)</f>
        <v>0.69192852741836108</v>
      </c>
      <c r="C19" s="35" t="s">
        <v>36</v>
      </c>
      <c r="D19" s="98" t="s">
        <v>39</v>
      </c>
      <c r="E19" s="84" t="s">
        <v>28</v>
      </c>
      <c r="F19" s="85"/>
      <c r="G19" s="85"/>
      <c r="H19" s="86"/>
      <c r="I19" s="91" t="s">
        <v>22</v>
      </c>
      <c r="J19" s="92"/>
      <c r="M19" s="84" t="s">
        <v>19</v>
      </c>
      <c r="N19" s="85"/>
      <c r="O19" s="85"/>
      <c r="P19" s="86"/>
      <c r="Q19" s="84" t="s">
        <v>23</v>
      </c>
      <c r="R19" s="85"/>
      <c r="S19" s="86"/>
      <c r="T19" s="91" t="s">
        <v>1</v>
      </c>
      <c r="U19" s="92"/>
      <c r="V19" s="93"/>
      <c r="W19" s="91" t="s">
        <v>29</v>
      </c>
      <c r="X19" s="92"/>
      <c r="Y19" s="93"/>
    </row>
    <row r="20" spans="1:28" ht="15" customHeight="1" x14ac:dyDescent="0.25">
      <c r="A20" s="103"/>
      <c r="B20" s="107"/>
      <c r="C20" s="96">
        <v>1</v>
      </c>
      <c r="D20" s="99"/>
      <c r="E20" s="8" t="s">
        <v>2</v>
      </c>
      <c r="F20" s="6" t="s">
        <v>3</v>
      </c>
      <c r="G20" s="82" t="s">
        <v>18</v>
      </c>
      <c r="H20" s="83"/>
      <c r="I20" s="100" t="s">
        <v>25</v>
      </c>
      <c r="J20" s="105"/>
      <c r="M20" s="52" t="s">
        <v>26</v>
      </c>
      <c r="N20" s="53"/>
      <c r="O20" s="54" t="s">
        <v>27</v>
      </c>
      <c r="P20" s="55"/>
      <c r="Q20" s="127" t="s">
        <v>8</v>
      </c>
      <c r="R20" s="128"/>
      <c r="S20" s="83"/>
      <c r="T20" s="8" t="s">
        <v>2</v>
      </c>
      <c r="U20" s="6" t="s">
        <v>3</v>
      </c>
      <c r="V20" s="9" t="s">
        <v>5</v>
      </c>
      <c r="W20" s="8" t="s">
        <v>2</v>
      </c>
      <c r="X20" s="6" t="s">
        <v>3</v>
      </c>
      <c r="Y20" s="9" t="s">
        <v>5</v>
      </c>
    </row>
    <row r="21" spans="1:28" ht="15.75" customHeight="1" thickBot="1" x14ac:dyDescent="0.3">
      <c r="A21" s="104"/>
      <c r="B21" s="108"/>
      <c r="C21" s="97"/>
      <c r="D21" s="43">
        <v>2</v>
      </c>
      <c r="E21" s="46">
        <v>3000</v>
      </c>
      <c r="F21" s="47">
        <v>1500</v>
      </c>
      <c r="G21" s="24">
        <f>H21/F21</f>
        <v>0.64600000000000002</v>
      </c>
      <c r="H21" s="10">
        <f>F21-U21</f>
        <v>969</v>
      </c>
      <c r="I21" s="130">
        <v>500</v>
      </c>
      <c r="J21" s="131"/>
      <c r="M21" s="87">
        <v>6</v>
      </c>
      <c r="N21" s="88"/>
      <c r="O21" s="89">
        <v>6</v>
      </c>
      <c r="P21" s="90"/>
      <c r="Q21" s="124">
        <f>(I21*I21)/2/1000000*D21</f>
        <v>0.25</v>
      </c>
      <c r="R21" s="125"/>
      <c r="S21" s="126"/>
      <c r="T21" s="11">
        <f>I21+O21+(D21-1)*(2*AG3)+5*AG3</f>
        <v>541</v>
      </c>
      <c r="U21" s="12">
        <f>I21+M21+5*AG3-IF(1-(I21/F21)&lt;0.15,2*$AG$3,0)</f>
        <v>531</v>
      </c>
      <c r="V21" s="13">
        <f>(T21*U21)/1000000</f>
        <v>0.287271</v>
      </c>
      <c r="W21" s="11">
        <f>T21</f>
        <v>541</v>
      </c>
      <c r="X21" s="12">
        <f>F21</f>
        <v>1500</v>
      </c>
      <c r="Y21" s="13">
        <f>(W21*X21)/1000000</f>
        <v>0.8115</v>
      </c>
      <c r="Z21" s="4"/>
    </row>
    <row r="22" spans="1:28" ht="15.75" thickBot="1" x14ac:dyDescent="0.3">
      <c r="E22" s="75" t="s">
        <v>38</v>
      </c>
      <c r="F22" s="76"/>
      <c r="G22" s="76"/>
      <c r="H22" s="77"/>
      <c r="T22" s="74" t="s">
        <v>37</v>
      </c>
      <c r="U22" s="74"/>
      <c r="V22" s="74"/>
      <c r="W22" s="74"/>
    </row>
    <row r="23" spans="1:28" ht="15.75" thickBot="1" x14ac:dyDescent="0.3">
      <c r="E23" s="78">
        <f>C20*H21</f>
        <v>969</v>
      </c>
      <c r="F23" s="79"/>
      <c r="G23" s="79"/>
      <c r="H23" s="80"/>
      <c r="T23" s="39">
        <f>T21</f>
        <v>541</v>
      </c>
      <c r="U23" s="39">
        <f>(F21-U21)*C20</f>
        <v>969</v>
      </c>
      <c r="V23" s="40">
        <f>(T23*U23)/1000000</f>
        <v>0.52422899999999995</v>
      </c>
      <c r="W23" s="50">
        <f>V21+V23*C20</f>
        <v>0.81149999999999989</v>
      </c>
    </row>
    <row r="24" spans="1:28" ht="15.75" thickBot="1" x14ac:dyDescent="0.3"/>
    <row r="25" spans="1:28" ht="21.75" thickBot="1" x14ac:dyDescent="0.4">
      <c r="A25" s="25" t="s">
        <v>13</v>
      </c>
      <c r="B25" s="26" t="s">
        <v>0</v>
      </c>
      <c r="C25" s="42" t="s">
        <v>42</v>
      </c>
    </row>
    <row r="26" spans="1:28" ht="18.75" x14ac:dyDescent="0.3">
      <c r="A26" s="102">
        <f>1-(Q28/V28)</f>
        <v>0.37058267050443394</v>
      </c>
      <c r="B26" s="106">
        <f>1-(Q28/W30)</f>
        <v>0.56738048886004755</v>
      </c>
      <c r="C26" s="35" t="s">
        <v>36</v>
      </c>
      <c r="D26" s="98" t="s">
        <v>40</v>
      </c>
      <c r="E26" s="84" t="s">
        <v>28</v>
      </c>
      <c r="F26" s="85"/>
      <c r="G26" s="85"/>
      <c r="H26" s="86"/>
      <c r="I26" s="91" t="s">
        <v>22</v>
      </c>
      <c r="J26" s="92"/>
      <c r="M26" s="91" t="s">
        <v>19</v>
      </c>
      <c r="N26" s="92"/>
      <c r="O26" s="92"/>
      <c r="P26" s="93"/>
      <c r="Q26" s="84" t="s">
        <v>23</v>
      </c>
      <c r="R26" s="85"/>
      <c r="S26" s="86"/>
      <c r="T26" s="91" t="s">
        <v>1</v>
      </c>
      <c r="U26" s="92"/>
      <c r="V26" s="93"/>
      <c r="W26" s="91" t="s">
        <v>1</v>
      </c>
      <c r="X26" s="92"/>
      <c r="Y26" s="93"/>
    </row>
    <row r="27" spans="1:28" ht="15" customHeight="1" x14ac:dyDescent="0.25">
      <c r="A27" s="103"/>
      <c r="B27" s="107"/>
      <c r="C27" s="96">
        <v>1</v>
      </c>
      <c r="D27" s="99"/>
      <c r="E27" s="8" t="s">
        <v>2</v>
      </c>
      <c r="F27" s="6" t="s">
        <v>3</v>
      </c>
      <c r="G27" s="82" t="s">
        <v>18</v>
      </c>
      <c r="H27" s="83"/>
      <c r="I27" s="32" t="s">
        <v>11</v>
      </c>
      <c r="J27" s="33" t="s">
        <v>12</v>
      </c>
      <c r="M27" s="100" t="s">
        <v>26</v>
      </c>
      <c r="N27" s="101"/>
      <c r="O27" s="129" t="s">
        <v>27</v>
      </c>
      <c r="P27" s="105"/>
      <c r="Q27" s="100" t="s">
        <v>8</v>
      </c>
      <c r="R27" s="128"/>
      <c r="S27" s="83"/>
      <c r="T27" s="8" t="s">
        <v>2</v>
      </c>
      <c r="U27" s="6" t="s">
        <v>3</v>
      </c>
      <c r="V27" s="9" t="s">
        <v>5</v>
      </c>
      <c r="W27" s="8" t="s">
        <v>2</v>
      </c>
      <c r="X27" s="6" t="s">
        <v>3</v>
      </c>
      <c r="Y27" s="9" t="s">
        <v>5</v>
      </c>
      <c r="AA27" s="3" t="s">
        <v>13</v>
      </c>
    </row>
    <row r="28" spans="1:28" ht="15.75" customHeight="1" thickBot="1" x14ac:dyDescent="0.3">
      <c r="A28" s="104"/>
      <c r="B28" s="108"/>
      <c r="C28" s="97"/>
      <c r="D28" s="43">
        <v>2</v>
      </c>
      <c r="E28" s="46">
        <v>3000</v>
      </c>
      <c r="F28" s="47">
        <v>1500</v>
      </c>
      <c r="G28" s="24">
        <f>H28/F28</f>
        <v>0.31266666666666665</v>
      </c>
      <c r="H28" s="10">
        <f>F28-U28</f>
        <v>469</v>
      </c>
      <c r="I28" s="44">
        <v>1000</v>
      </c>
      <c r="J28" s="45">
        <v>1000</v>
      </c>
      <c r="M28" s="87">
        <v>6</v>
      </c>
      <c r="N28" s="88"/>
      <c r="O28" s="89">
        <v>6</v>
      </c>
      <c r="P28" s="90"/>
      <c r="Q28" s="124">
        <f>((I28*J28)/2/1000000)*D28</f>
        <v>1</v>
      </c>
      <c r="R28" s="125"/>
      <c r="S28" s="126"/>
      <c r="T28" s="11">
        <f>I28+O28+(D28-1)*(2*AG3+I28/2)+5*AG3</f>
        <v>1541</v>
      </c>
      <c r="U28" s="12">
        <f>J28+M28+5*AG3-IF(1-(J28/F28)&lt;0.15,2*$AG$3,0)</f>
        <v>1031</v>
      </c>
      <c r="V28" s="13">
        <f>(T28*U28)/1000000</f>
        <v>1.5887709999999999</v>
      </c>
      <c r="W28" s="11">
        <f>T28</f>
        <v>1541</v>
      </c>
      <c r="X28" s="12">
        <f>F28</f>
        <v>1500</v>
      </c>
      <c r="Y28" s="13">
        <f>(W28*X28)/1000000</f>
        <v>2.3115000000000001</v>
      </c>
      <c r="Z28" s="4"/>
      <c r="AA28" s="4">
        <f>1-(Q28/V28)</f>
        <v>0.37058267050443394</v>
      </c>
      <c r="AB28" s="4">
        <f>1-(Q28/Y28)</f>
        <v>0.56738048886004755</v>
      </c>
    </row>
    <row r="29" spans="1:28" ht="15.75" thickBot="1" x14ac:dyDescent="0.3">
      <c r="E29" s="75" t="s">
        <v>38</v>
      </c>
      <c r="F29" s="76"/>
      <c r="G29" s="76"/>
      <c r="H29" s="77"/>
      <c r="T29" s="74" t="s">
        <v>37</v>
      </c>
      <c r="U29" s="74"/>
      <c r="V29" s="74"/>
      <c r="W29" s="74"/>
      <c r="AA29" s="4"/>
      <c r="AB29" s="4"/>
    </row>
    <row r="30" spans="1:28" ht="15.75" thickBot="1" x14ac:dyDescent="0.3">
      <c r="E30" s="78">
        <f>C27*H28</f>
        <v>469</v>
      </c>
      <c r="F30" s="79"/>
      <c r="G30" s="79"/>
      <c r="H30" s="80"/>
      <c r="T30" s="39">
        <f>T28</f>
        <v>1541</v>
      </c>
      <c r="U30" s="39">
        <f>(F28-U28)*C27</f>
        <v>469</v>
      </c>
      <c r="V30" s="40">
        <f>(T30*U30)/1000000</f>
        <v>0.72272899999999995</v>
      </c>
      <c r="W30" s="50">
        <f>V28+V30*C27</f>
        <v>2.3114999999999997</v>
      </c>
    </row>
    <row r="31" spans="1:28" ht="11.25" customHeight="1" x14ac:dyDescent="0.25">
      <c r="AB31" s="4"/>
    </row>
    <row r="32" spans="1:28" ht="24.75" customHeight="1" thickBot="1" x14ac:dyDescent="0.4">
      <c r="A32" s="19" t="s">
        <v>9</v>
      </c>
      <c r="B32" s="19" t="s">
        <v>24</v>
      </c>
      <c r="C32"/>
      <c r="F32" s="17"/>
      <c r="G32" s="17"/>
      <c r="H32" s="17"/>
    </row>
    <row r="33" spans="1:8" ht="15" customHeight="1" thickBot="1" x14ac:dyDescent="0.3">
      <c r="A33" s="2">
        <v>250</v>
      </c>
      <c r="B33" s="20">
        <f>1/SQRT(2)*A33</f>
        <v>176.77669529663686</v>
      </c>
      <c r="C33"/>
      <c r="F33" s="21"/>
      <c r="G33" s="21"/>
      <c r="H33" s="21"/>
    </row>
  </sheetData>
  <mergeCells count="84">
    <mergeCell ref="Q27:S27"/>
    <mergeCell ref="I21:J21"/>
    <mergeCell ref="Q28:S28"/>
    <mergeCell ref="Q8:S8"/>
    <mergeCell ref="Q9:S9"/>
    <mergeCell ref="I12:J12"/>
    <mergeCell ref="I8:J8"/>
    <mergeCell ref="I9:J9"/>
    <mergeCell ref="M28:N28"/>
    <mergeCell ref="O27:P27"/>
    <mergeCell ref="O28:P28"/>
    <mergeCell ref="E26:H26"/>
    <mergeCell ref="Q21:S21"/>
    <mergeCell ref="Q20:S20"/>
    <mergeCell ref="G6:H6"/>
    <mergeCell ref="W5:Y5"/>
    <mergeCell ref="O7:P7"/>
    <mergeCell ref="M13:N13"/>
    <mergeCell ref="M14:N14"/>
    <mergeCell ref="W12:Y12"/>
    <mergeCell ref="O6:P6"/>
    <mergeCell ref="O13:P13"/>
    <mergeCell ref="E5:H5"/>
    <mergeCell ref="E12:H12"/>
    <mergeCell ref="A15:B15"/>
    <mergeCell ref="B19:B21"/>
    <mergeCell ref="A19:A21"/>
    <mergeCell ref="D19:D20"/>
    <mergeCell ref="D5:D7"/>
    <mergeCell ref="A5:A7"/>
    <mergeCell ref="D12:D14"/>
    <mergeCell ref="A12:A14"/>
    <mergeCell ref="A8:B8"/>
    <mergeCell ref="C6:C7"/>
    <mergeCell ref="B5:B7"/>
    <mergeCell ref="B12:B14"/>
    <mergeCell ref="E30:H30"/>
    <mergeCell ref="A26:A28"/>
    <mergeCell ref="T26:V26"/>
    <mergeCell ref="K12:L12"/>
    <mergeCell ref="T12:V12"/>
    <mergeCell ref="I19:J19"/>
    <mergeCell ref="Q19:S19"/>
    <mergeCell ref="T19:V19"/>
    <mergeCell ref="O14:P14"/>
    <mergeCell ref="I20:J20"/>
    <mergeCell ref="M27:N27"/>
    <mergeCell ref="B26:B28"/>
    <mergeCell ref="I26:J26"/>
    <mergeCell ref="M26:P26"/>
    <mergeCell ref="Q26:S26"/>
    <mergeCell ref="M12:P12"/>
    <mergeCell ref="A3:C3"/>
    <mergeCell ref="T15:W15"/>
    <mergeCell ref="T22:W22"/>
    <mergeCell ref="C20:C21"/>
    <mergeCell ref="C27:C28"/>
    <mergeCell ref="C13:C14"/>
    <mergeCell ref="E15:H15"/>
    <mergeCell ref="E16:H16"/>
    <mergeCell ref="D26:D27"/>
    <mergeCell ref="M5:P5"/>
    <mergeCell ref="Q5:S5"/>
    <mergeCell ref="T5:V5"/>
    <mergeCell ref="I5:J5"/>
    <mergeCell ref="Q12:S12"/>
    <mergeCell ref="M6:N6"/>
    <mergeCell ref="M7:N7"/>
    <mergeCell ref="T29:W29"/>
    <mergeCell ref="E22:H22"/>
    <mergeCell ref="E23:H23"/>
    <mergeCell ref="E29:H29"/>
    <mergeCell ref="T8:W8"/>
    <mergeCell ref="E8:H8"/>
    <mergeCell ref="E9:H9"/>
    <mergeCell ref="G13:H13"/>
    <mergeCell ref="G20:H20"/>
    <mergeCell ref="G27:H27"/>
    <mergeCell ref="M19:P19"/>
    <mergeCell ref="M21:N21"/>
    <mergeCell ref="O21:P21"/>
    <mergeCell ref="W19:Y19"/>
    <mergeCell ref="W26:Y26"/>
    <mergeCell ref="E19:H19"/>
  </mergeCells>
  <conditionalFormatting sqref="A8:D9 I8:J9 M8:S9">
    <cfRule type="expression" dxfId="7" priority="13">
      <formula>$J$7&lt;=0</formula>
    </cfRule>
  </conditionalFormatting>
  <conditionalFormatting sqref="A15:C16">
    <cfRule type="expression" dxfId="6" priority="4">
      <formula>OR($K$14&lt;=0,$L$14&lt;=0)</formula>
    </cfRule>
  </conditionalFormatting>
  <conditionalFormatting sqref="C16">
    <cfRule type="expression" dxfId="5" priority="2">
      <formula>$J$7&lt;=0</formula>
    </cfRule>
  </conditionalFormatting>
  <conditionalFormatting sqref="C15">
    <cfRule type="expression" dxfId="4" priority="1">
      <formula>$J$7&lt;=0</formula>
    </cfRule>
  </conditionalFormatting>
  <dataValidations count="25">
    <dataValidation type="list" allowBlank="1" showInputMessage="1" showErrorMessage="1" errorTitle="Erreur" error="Doit etre 1 ou 2" promptTitle="Nombre de Triangle Isocele" sqref="D28">
      <formula1>$AE$2:$AE$3</formula1>
    </dataValidation>
    <dataValidation type="list" allowBlank="1" showInputMessage="1" showErrorMessage="1" errorTitle="Erreur" error="Doit etre 1 ou 2" promptTitle="Nombre de triangle rectangle" sqref="D21">
      <formula1>$AE$2:$AE$3</formula1>
    </dataValidation>
    <dataValidation type="custom" allowBlank="1" showInputMessage="1" showErrorMessage="1" errorTitle="Erreur" error="La largeur interieure doit etre inferieure à la largeur exterieure " sqref="L15:L16">
      <formula1>J15&gt;L15</formula1>
    </dataValidation>
    <dataValidation type="custom" allowBlank="1" showInputMessage="1" showErrorMessage="1" errorTitle="Erreur" error="La longueur interieure doit etre inferieure à la longueur exterieure " sqref="K15:K16">
      <formula1>I15&gt;K15</formula1>
    </dataValidation>
    <dataValidation type="custom" allowBlank="1" showInputMessage="1" showErrorMessage="1" errorTitle="Erreur" error="Le format est trop petit" sqref="E14:F14 E7:E8 F7 E22 E21:F21 E29 E28:F28">
      <formula1>T7&lt;E7</formula1>
    </dataValidation>
    <dataValidation type="custom" allowBlank="1" showInputMessage="1" showErrorMessage="1" errorTitle="Erreur" error="Le format est trop petit" sqref="E10:F10 E15">
      <formula1>R10&lt;E10</formula1>
    </dataValidation>
    <dataValidation type="custom" allowBlank="1" showInputMessage="1" showErrorMessage="1" errorTitle="Erreur" error="La pièce ne rentre pas dans le format" sqref="I15:J16">
      <formula1>T15&lt;E15</formula1>
    </dataValidation>
    <dataValidation type="custom" allowBlank="1" showInputMessage="1" showErrorMessage="1" errorTitle="Erreur" error="La pièce ne rentre pas dans le format_x000a_Ou le Ø exterieur &gt; Ø  interieur" sqref="I10">
      <formula1>AND(R10&lt;E10,S10&lt;F10,I10&gt;J10)</formula1>
    </dataValidation>
    <dataValidation type="custom" allowBlank="1" showInputMessage="1" showErrorMessage="1" errorTitle="Erreur" error="Le Ø interieur doit inferieur au diametre exterieur" sqref="J10">
      <formula1>I10&gt;J10</formula1>
    </dataValidation>
    <dataValidation type="custom" allowBlank="1" showInputMessage="1" showErrorMessage="1" errorTitle="Erreur" error="Le Ø interieur doit inferieur au diametre exterieur" sqref="Q8 I8">
      <formula1>#REF!&gt;I8</formula1>
    </dataValidation>
    <dataValidation type="custom" allowBlank="1" showInputMessage="1" showErrorMessage="1" errorTitle="Erreur" error="La pièce ne rentre pas dans le format_x000a_ou la valeur&gt;0" sqref="I14:J14">
      <formula1>AND(T14&lt;E14,I14&gt;0)</formula1>
    </dataValidation>
    <dataValidation type="custom" allowBlank="1" showInputMessage="1" showErrorMessage="1" errorTitle="Erreur" error="L'ecart bas ne peut etre négatif" sqref="M7:N7 M14:N14 M21">
      <formula1>M7&gt;=0</formula1>
    </dataValidation>
    <dataValidation type="custom" allowBlank="1" showInputMessage="1" showErrorMessage="1" errorTitle="Erreur" error="L'ecart gache ne peut etre négatif" sqref="O7:P7 O14:P14">
      <formula1>O7&gt;=0</formula1>
    </dataValidation>
    <dataValidation type="custom" allowBlank="1" showInputMessage="1" showErrorMessage="1" errorTitle="Erreur" error="La longueur interieure doit etre inferieure à la longueur exterieure _x000a_et ne peut etre négatif " sqref="K14">
      <formula1>AND(I14&gt;K14,K14&gt;=0)</formula1>
    </dataValidation>
    <dataValidation type="custom" allowBlank="1" showInputMessage="1" showErrorMessage="1" errorTitle="Erreur" error="La largeur interieure doit etre inferieure à la largeur exterieure _x000a_et ne peut etre négatif" sqref="L14">
      <formula1>AND(J14&gt;L14,L14&gt;=0)</formula1>
    </dataValidation>
    <dataValidation type="custom" allowBlank="1" showInputMessage="1" showErrorMessage="1" errorTitle="Erreur" error="L'ecart gauche ne peut etre négatif" sqref="O21">
      <formula1>O21&gt;0</formula1>
    </dataValidation>
    <dataValidation type="custom" allowBlank="1" showInputMessage="1" showErrorMessage="1" errorTitle="Erreur" error="L'ecart gauche ne peut etre négatif" sqref="M28:P28">
      <formula1>M28&gt;=0</formula1>
    </dataValidation>
    <dataValidation type="custom" allowBlank="1" showInputMessage="1" showErrorMessage="1" errorTitle="Erreur" error="Le Ø doit etre &gt; 0" sqref="A33">
      <formula1>A33&gt;0</formula1>
    </dataValidation>
    <dataValidation type="custom" allowBlank="1" showInputMessage="1" showErrorMessage="1" errorTitle="Erreur" error="Le Ø interieur doit inferieur au diametre exterieur_x000a_et doit etre &gt;=0" sqref="J7">
      <formula1>AND(I7&gt;J7,J7&gt;=0)</formula1>
    </dataValidation>
    <dataValidation allowBlank="1" showInputMessage="1" showErrorMessage="1" errorTitle="Erreur" error="Le format est trop petit" sqref="E9 E16 E23 E30"/>
    <dataValidation type="decimal" allowBlank="1" showInputMessage="1" showErrorMessage="1" errorTitle="Erreur" error="Doit etre entre 0% et 100%" sqref="C6:C7 C9 C13:C14 C16 C20:C21 C27:C28">
      <formula1>0</formula1>
      <formula2>1</formula2>
    </dataValidation>
    <dataValidation type="custom" allowBlank="1" showInputMessage="1" showErrorMessage="1" errorTitle="Erreur" error="La pièce ne rentre pas dans le format_x000a_Ou le Ø exterieur &gt; Ø  interieur" sqref="I7">
      <formula1>AND(T7&lt;E7,U7&lt;F7,I7&gt;J7)</formula1>
    </dataValidation>
    <dataValidation type="custom" allowBlank="1" showInputMessage="1" showErrorMessage="1" errorTitle="Erreur" error="La piece ne rentre pas dans le format_x000a_et doit etre &gt;0" sqref="I21:J21">
      <formula1>AND(T21&lt;E21,U21&lt;F21,I21&gt;0)</formula1>
    </dataValidation>
    <dataValidation type="custom" allowBlank="1" showInputMessage="1" showErrorMessage="1" errorTitle="Erreur" error="La piece ne rentre pas dans le format_x000a_et doit etre &gt;0" sqref="J28">
      <formula1>AND(U28&lt;F28,J28&gt;0)</formula1>
    </dataValidation>
    <dataValidation type="custom" allowBlank="1" showInputMessage="1" showErrorMessage="1" errorTitle="Erreur" error="La piece ne rentre pas dans le format_x000a_et doit etre &gt; 0" sqref="I28">
      <formula1>AND(T28&lt;E28,I28&gt;0)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N55"/>
  <sheetViews>
    <sheetView workbookViewId="0">
      <selection activeCell="A2" sqref="A2"/>
    </sheetView>
  </sheetViews>
  <sheetFormatPr baseColWidth="10" defaultRowHeight="15" x14ac:dyDescent="0.25"/>
  <sheetData>
    <row r="1" spans="1:14" x14ac:dyDescent="0.25">
      <c r="A1">
        <v>100</v>
      </c>
    </row>
    <row r="2" spans="1:14" x14ac:dyDescent="0.25">
      <c r="A2" t="s">
        <v>9</v>
      </c>
      <c r="C2">
        <f>(COLUMN()-2)*$A$1</f>
        <v>100</v>
      </c>
      <c r="D2">
        <f t="shared" ref="D2:N2" si="0">(COLUMN()-1)*$A$1</f>
        <v>300</v>
      </c>
      <c r="E2">
        <f t="shared" si="0"/>
        <v>400</v>
      </c>
      <c r="F2">
        <f t="shared" si="0"/>
        <v>500</v>
      </c>
      <c r="G2">
        <f t="shared" si="0"/>
        <v>600</v>
      </c>
      <c r="H2">
        <f t="shared" si="0"/>
        <v>700</v>
      </c>
      <c r="I2">
        <f t="shared" si="0"/>
        <v>800</v>
      </c>
      <c r="J2">
        <f t="shared" si="0"/>
        <v>900</v>
      </c>
      <c r="K2">
        <f t="shared" si="0"/>
        <v>1000</v>
      </c>
      <c r="L2">
        <f t="shared" si="0"/>
        <v>1100</v>
      </c>
      <c r="M2">
        <f t="shared" si="0"/>
        <v>1200</v>
      </c>
      <c r="N2">
        <f t="shared" si="0"/>
        <v>1300</v>
      </c>
    </row>
    <row r="3" spans="1:14" x14ac:dyDescent="0.25">
      <c r="C3" s="1">
        <v>0.810841508368501</v>
      </c>
      <c r="D3" s="1">
        <v>0.56658026760312463</v>
      </c>
      <c r="E3" s="1">
        <v>0.50501280428016293</v>
      </c>
      <c r="F3" s="1">
        <v>0.46154952546767813</v>
      </c>
      <c r="G3" s="1">
        <v>0.42930935414769078</v>
      </c>
      <c r="H3" s="1">
        <v>0.40447163997839874</v>
      </c>
      <c r="I3" s="1">
        <v>0.3847619229897411</v>
      </c>
      <c r="J3" s="1">
        <v>0.36874661800275388</v>
      </c>
      <c r="K3" s="1">
        <v>0.35547905842225214</v>
      </c>
      <c r="L3" s="1">
        <v>0.34430965524846013</v>
      </c>
      <c r="M3" s="1">
        <v>0.33477815435025249</v>
      </c>
      <c r="N3" s="1">
        <v>0.32654949083205387</v>
      </c>
    </row>
    <row r="5" spans="1:14" x14ac:dyDescent="0.25">
      <c r="C5" t="s">
        <v>16</v>
      </c>
    </row>
    <row r="6" spans="1:14" x14ac:dyDescent="0.25">
      <c r="C6">
        <f>(COLUMN()-2)*$A$1</f>
        <v>100</v>
      </c>
      <c r="D6">
        <f t="shared" ref="D6:N6" si="1">(COLUMN()-2)*$A$1</f>
        <v>200</v>
      </c>
      <c r="E6">
        <f t="shared" si="1"/>
        <v>300</v>
      </c>
      <c r="F6">
        <f t="shared" si="1"/>
        <v>400</v>
      </c>
      <c r="G6">
        <f t="shared" si="1"/>
        <v>500</v>
      </c>
      <c r="H6">
        <f t="shared" si="1"/>
        <v>600</v>
      </c>
      <c r="I6">
        <f t="shared" si="1"/>
        <v>700</v>
      </c>
      <c r="J6">
        <f t="shared" si="1"/>
        <v>800</v>
      </c>
      <c r="K6">
        <f t="shared" si="1"/>
        <v>900</v>
      </c>
      <c r="L6">
        <f t="shared" si="1"/>
        <v>1000</v>
      </c>
      <c r="M6">
        <f t="shared" si="1"/>
        <v>1100</v>
      </c>
      <c r="N6">
        <f t="shared" si="1"/>
        <v>1200</v>
      </c>
    </row>
    <row r="7" spans="1:14" x14ac:dyDescent="0.25">
      <c r="A7" t="s">
        <v>4</v>
      </c>
      <c r="B7">
        <f>(ROW()-4-2)*$A$1</f>
        <v>100</v>
      </c>
      <c r="C7" s="1"/>
      <c r="D7" s="1">
        <v>0.89374928854205415</v>
      </c>
      <c r="E7" s="1">
        <v>0.89374928854205415</v>
      </c>
      <c r="F7" s="1">
        <v>0.89374928854205415</v>
      </c>
      <c r="G7" s="1">
        <v>0.89374928854205415</v>
      </c>
      <c r="H7" s="1">
        <v>0.89374928854205415</v>
      </c>
      <c r="I7" s="1">
        <v>0.89374928854205415</v>
      </c>
      <c r="J7" s="1">
        <v>0.89374928854205415</v>
      </c>
      <c r="K7" s="1">
        <v>0.89374928854205415</v>
      </c>
      <c r="L7" s="1">
        <v>0.89374928854205415</v>
      </c>
      <c r="M7" s="1">
        <v>0.89374928854205415</v>
      </c>
      <c r="N7" s="1">
        <v>0.89374928854205415</v>
      </c>
    </row>
    <row r="8" spans="1:14" x14ac:dyDescent="0.25">
      <c r="B8">
        <f t="shared" ref="B8:B34" si="2">(ROW()-4-2)*$A$1</f>
        <v>200</v>
      </c>
      <c r="C8" s="1"/>
      <c r="D8" s="1"/>
      <c r="E8" s="1">
        <v>0.89374928854205415</v>
      </c>
      <c r="F8" s="1">
        <v>0.89374928854205415</v>
      </c>
      <c r="G8" s="1">
        <v>0.89374928854205415</v>
      </c>
      <c r="H8" s="1">
        <v>0.89374928854205415</v>
      </c>
      <c r="I8" s="1">
        <v>0.89374928854205415</v>
      </c>
      <c r="J8" s="1">
        <v>0.89374928854205415</v>
      </c>
      <c r="K8" s="1">
        <v>0.89374928854205415</v>
      </c>
      <c r="L8" s="1">
        <v>0.89374928854205415</v>
      </c>
      <c r="M8" s="1">
        <v>0.89374928854205415</v>
      </c>
      <c r="N8" s="1">
        <v>0.89374928854205415</v>
      </c>
    </row>
    <row r="9" spans="1:14" x14ac:dyDescent="0.25">
      <c r="B9">
        <f t="shared" si="2"/>
        <v>300</v>
      </c>
      <c r="C9" s="1"/>
      <c r="D9" s="1"/>
      <c r="E9" s="1"/>
      <c r="F9" s="1">
        <v>0.89374928854205415</v>
      </c>
      <c r="G9" s="1">
        <v>0.89374928854205415</v>
      </c>
      <c r="H9" s="1">
        <v>0.89374928854205415</v>
      </c>
      <c r="I9" s="1">
        <v>0.89374928854205415</v>
      </c>
      <c r="J9" s="1">
        <v>0.89374928854205415</v>
      </c>
      <c r="K9" s="1">
        <v>0.89374928854205415</v>
      </c>
      <c r="L9" s="1">
        <v>0.89374928854205415</v>
      </c>
      <c r="M9" s="1">
        <v>0.89374928854205415</v>
      </c>
      <c r="N9" s="1">
        <v>0.89374928854205415</v>
      </c>
    </row>
    <row r="10" spans="1:14" x14ac:dyDescent="0.25">
      <c r="B10">
        <f t="shared" si="2"/>
        <v>400</v>
      </c>
      <c r="C10" s="1"/>
      <c r="D10" s="1"/>
      <c r="E10" s="1"/>
      <c r="F10" s="1"/>
      <c r="G10" s="1">
        <v>0.89374928854205415</v>
      </c>
      <c r="H10" s="1">
        <v>0.89374928854205415</v>
      </c>
      <c r="I10" s="1">
        <v>0.89374928854205415</v>
      </c>
      <c r="J10" s="1">
        <v>0.89374928854205415</v>
      </c>
      <c r="K10" s="1">
        <v>0.89374928854205415</v>
      </c>
      <c r="L10" s="1">
        <v>0.89374928854205415</v>
      </c>
      <c r="M10" s="1">
        <v>0.89374928854205415</v>
      </c>
      <c r="N10" s="1">
        <v>0.89374928854205415</v>
      </c>
    </row>
    <row r="11" spans="1:14" x14ac:dyDescent="0.25">
      <c r="B11">
        <f t="shared" si="2"/>
        <v>500</v>
      </c>
      <c r="C11" s="1"/>
      <c r="D11" s="1"/>
      <c r="E11" s="1"/>
      <c r="F11" s="1"/>
      <c r="G11" s="1"/>
      <c r="H11" s="1">
        <v>0.89374928854205415</v>
      </c>
      <c r="I11" s="1">
        <v>0.89374928854205415</v>
      </c>
      <c r="J11" s="1">
        <v>0.89374928854205415</v>
      </c>
      <c r="K11" s="1">
        <v>0.89374928854205415</v>
      </c>
      <c r="L11" s="1">
        <v>0.89374928854205415</v>
      </c>
      <c r="M11" s="1">
        <v>0.89374928854205415</v>
      </c>
      <c r="N11" s="1">
        <v>0.89374928854205415</v>
      </c>
    </row>
    <row r="12" spans="1:14" x14ac:dyDescent="0.25">
      <c r="B12">
        <f t="shared" si="2"/>
        <v>600</v>
      </c>
      <c r="C12" s="1"/>
      <c r="D12" s="1"/>
      <c r="E12" s="1"/>
      <c r="F12" s="1"/>
      <c r="G12" s="1"/>
      <c r="H12" s="1"/>
      <c r="I12" s="1">
        <v>0.89374928854205415</v>
      </c>
      <c r="J12" s="1">
        <v>0.89374928854205415</v>
      </c>
      <c r="K12" s="1">
        <v>0.89374928854205415</v>
      </c>
      <c r="L12" s="1">
        <v>0.89374928854205415</v>
      </c>
      <c r="M12" s="1">
        <v>0.89374928854205415</v>
      </c>
      <c r="N12" s="1">
        <v>0.89374928854205415</v>
      </c>
    </row>
    <row r="13" spans="1:14" x14ac:dyDescent="0.25">
      <c r="B13">
        <f t="shared" si="2"/>
        <v>700</v>
      </c>
      <c r="C13" s="1"/>
      <c r="D13" s="1"/>
      <c r="E13" s="1"/>
      <c r="F13" s="1"/>
      <c r="G13" s="1"/>
      <c r="H13" s="1"/>
      <c r="I13" s="1"/>
      <c r="J13" s="1">
        <v>0.89374928854205415</v>
      </c>
      <c r="K13" s="1">
        <v>0.89374928854205415</v>
      </c>
      <c r="L13" s="1">
        <v>0.89374928854205415</v>
      </c>
      <c r="M13" s="1">
        <v>0.89374928854205415</v>
      </c>
      <c r="N13" s="1">
        <v>0.89374928854205415</v>
      </c>
    </row>
    <row r="14" spans="1:14" x14ac:dyDescent="0.25">
      <c r="B14">
        <f t="shared" si="2"/>
        <v>800</v>
      </c>
      <c r="C14" s="1"/>
      <c r="D14" s="1"/>
      <c r="E14" s="1"/>
      <c r="F14" s="1"/>
      <c r="G14" s="1"/>
      <c r="H14" s="1"/>
      <c r="I14" s="1"/>
      <c r="J14" s="1"/>
      <c r="K14" s="1">
        <v>0.89374928854205415</v>
      </c>
      <c r="L14" s="1">
        <v>0.89374928854205415</v>
      </c>
      <c r="M14" s="1">
        <v>0.89374928854205415</v>
      </c>
      <c r="N14" s="1">
        <v>0.89374928854205415</v>
      </c>
    </row>
    <row r="15" spans="1:14" x14ac:dyDescent="0.25">
      <c r="B15">
        <f t="shared" si="2"/>
        <v>900</v>
      </c>
      <c r="C15" s="1"/>
      <c r="D15" s="1"/>
      <c r="E15" s="1"/>
      <c r="F15" s="1"/>
      <c r="G15" s="1"/>
      <c r="H15" s="1"/>
      <c r="I15" s="1"/>
      <c r="J15" s="1"/>
      <c r="K15" s="1"/>
      <c r="L15" s="1">
        <v>0.89374928854205415</v>
      </c>
      <c r="M15" s="1">
        <v>0.89374928854205415</v>
      </c>
      <c r="N15" s="1">
        <v>0.89374928854205415</v>
      </c>
    </row>
    <row r="16" spans="1:14" x14ac:dyDescent="0.25">
      <c r="B16">
        <f t="shared" si="2"/>
        <v>1000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>
        <v>0.89374928854205415</v>
      </c>
      <c r="N16" s="1">
        <v>0.89374928854205415</v>
      </c>
    </row>
    <row r="17" spans="2:14" x14ac:dyDescent="0.25">
      <c r="B17">
        <f t="shared" si="2"/>
        <v>1100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>
        <v>0.89374928854205415</v>
      </c>
    </row>
    <row r="18" spans="2:14" x14ac:dyDescent="0.25">
      <c r="B18">
        <f t="shared" si="2"/>
        <v>1200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2:14" x14ac:dyDescent="0.25">
      <c r="B19">
        <f t="shared" si="2"/>
        <v>1300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2:14" x14ac:dyDescent="0.25">
      <c r="B20">
        <f t="shared" si="2"/>
        <v>1400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2:14" x14ac:dyDescent="0.25">
      <c r="B21">
        <f t="shared" si="2"/>
        <v>1500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2:14" x14ac:dyDescent="0.25">
      <c r="B22">
        <f t="shared" si="2"/>
        <v>1600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2:14" x14ac:dyDescent="0.25">
      <c r="B23">
        <f t="shared" si="2"/>
        <v>1700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2:14" x14ac:dyDescent="0.25">
      <c r="B24">
        <f t="shared" si="2"/>
        <v>1800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2:14" x14ac:dyDescent="0.25">
      <c r="B25">
        <f t="shared" si="2"/>
        <v>1900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2:14" x14ac:dyDescent="0.25">
      <c r="B26">
        <f t="shared" si="2"/>
        <v>2000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2:14" x14ac:dyDescent="0.25">
      <c r="B27">
        <f t="shared" si="2"/>
        <v>2100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2:14" x14ac:dyDescent="0.25">
      <c r="B28">
        <f t="shared" si="2"/>
        <v>2200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2:14" x14ac:dyDescent="0.25">
      <c r="B29">
        <f t="shared" si="2"/>
        <v>2300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2:14" x14ac:dyDescent="0.25">
      <c r="B30">
        <f t="shared" si="2"/>
        <v>2400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2:14" x14ac:dyDescent="0.25">
      <c r="B31">
        <f t="shared" si="2"/>
        <v>2500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2:14" x14ac:dyDescent="0.25">
      <c r="B32">
        <f t="shared" si="2"/>
        <v>2600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B33">
        <f t="shared" si="2"/>
        <v>2700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B34">
        <f t="shared" si="2"/>
        <v>2800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C36" t="s">
        <v>6</v>
      </c>
    </row>
    <row r="37" spans="1:14" x14ac:dyDescent="0.25">
      <c r="A37" t="s">
        <v>10</v>
      </c>
      <c r="C37">
        <f>(COLUMN()-2)*$A$1</f>
        <v>100</v>
      </c>
      <c r="D37">
        <f t="shared" ref="D37:N37" si="3">(COLUMN()-2)*$A$1</f>
        <v>200</v>
      </c>
      <c r="E37">
        <f t="shared" si="3"/>
        <v>300</v>
      </c>
      <c r="F37">
        <f t="shared" si="3"/>
        <v>400</v>
      </c>
      <c r="G37">
        <f t="shared" si="3"/>
        <v>500</v>
      </c>
      <c r="H37">
        <f t="shared" si="3"/>
        <v>600</v>
      </c>
      <c r="I37">
        <f t="shared" si="3"/>
        <v>700</v>
      </c>
      <c r="J37">
        <f t="shared" si="3"/>
        <v>800</v>
      </c>
      <c r="K37">
        <f t="shared" si="3"/>
        <v>900</v>
      </c>
      <c r="L37">
        <f t="shared" si="3"/>
        <v>1000</v>
      </c>
      <c r="M37">
        <f t="shared" si="3"/>
        <v>1100</v>
      </c>
      <c r="N37">
        <f t="shared" si="3"/>
        <v>1200</v>
      </c>
    </row>
    <row r="38" spans="1:14" x14ac:dyDescent="0.25">
      <c r="A38" t="s">
        <v>17</v>
      </c>
      <c r="B38">
        <f>(ROW()-34-2)*$A$1</f>
        <v>200</v>
      </c>
    </row>
    <row r="39" spans="1:14" x14ac:dyDescent="0.25">
      <c r="B39">
        <f t="shared" ref="B39:B55" si="4">(ROW()-34-2)*$A$1</f>
        <v>300</v>
      </c>
    </row>
    <row r="40" spans="1:14" x14ac:dyDescent="0.25">
      <c r="B40">
        <f t="shared" si="4"/>
        <v>400</v>
      </c>
    </row>
    <row r="41" spans="1:14" x14ac:dyDescent="0.25">
      <c r="B41">
        <f t="shared" si="4"/>
        <v>500</v>
      </c>
    </row>
    <row r="42" spans="1:14" x14ac:dyDescent="0.25">
      <c r="B42">
        <f t="shared" si="4"/>
        <v>600</v>
      </c>
    </row>
    <row r="43" spans="1:14" x14ac:dyDescent="0.25">
      <c r="B43">
        <f t="shared" si="4"/>
        <v>700</v>
      </c>
    </row>
    <row r="44" spans="1:14" x14ac:dyDescent="0.25">
      <c r="B44">
        <f t="shared" si="4"/>
        <v>800</v>
      </c>
    </row>
    <row r="45" spans="1:14" x14ac:dyDescent="0.25">
      <c r="B45">
        <f t="shared" si="4"/>
        <v>900</v>
      </c>
    </row>
    <row r="46" spans="1:14" x14ac:dyDescent="0.25">
      <c r="B46">
        <f t="shared" si="4"/>
        <v>1000</v>
      </c>
    </row>
    <row r="47" spans="1:14" x14ac:dyDescent="0.25">
      <c r="B47">
        <f t="shared" si="4"/>
        <v>1100</v>
      </c>
    </row>
    <row r="48" spans="1:14" x14ac:dyDescent="0.25">
      <c r="B48">
        <f t="shared" si="4"/>
        <v>1200</v>
      </c>
    </row>
    <row r="49" spans="2:2" x14ac:dyDescent="0.25">
      <c r="B49">
        <f t="shared" si="4"/>
        <v>1300</v>
      </c>
    </row>
    <row r="50" spans="2:2" x14ac:dyDescent="0.25">
      <c r="B50">
        <f t="shared" si="4"/>
        <v>1400</v>
      </c>
    </row>
    <row r="51" spans="2:2" x14ac:dyDescent="0.25">
      <c r="B51">
        <f t="shared" si="4"/>
        <v>1500</v>
      </c>
    </row>
    <row r="52" spans="2:2" x14ac:dyDescent="0.25">
      <c r="B52">
        <f t="shared" si="4"/>
        <v>1600</v>
      </c>
    </row>
    <row r="53" spans="2:2" x14ac:dyDescent="0.25">
      <c r="B53">
        <f t="shared" si="4"/>
        <v>1700</v>
      </c>
    </row>
    <row r="54" spans="2:2" x14ac:dyDescent="0.25">
      <c r="B54">
        <f t="shared" si="4"/>
        <v>1800</v>
      </c>
    </row>
    <row r="55" spans="2:2" x14ac:dyDescent="0.25">
      <c r="B55">
        <f t="shared" si="4"/>
        <v>1900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AG30"/>
  <sheetViews>
    <sheetView view="pageBreakPreview" zoomScaleNormal="100" zoomScaleSheetLayoutView="100" workbookViewId="0">
      <selection activeCell="A33" sqref="A33"/>
    </sheetView>
  </sheetViews>
  <sheetFormatPr baseColWidth="10" defaultRowHeight="15" x14ac:dyDescent="0.25"/>
  <cols>
    <col min="1" max="1" width="22.85546875" customWidth="1"/>
    <col min="3" max="3" width="29.5703125" customWidth="1"/>
    <col min="13" max="33" width="11.42578125" hidden="1" customWidth="1"/>
  </cols>
  <sheetData>
    <row r="1" spans="1:33" ht="69.95" customHeight="1" thickBot="1" x14ac:dyDescent="0.3"/>
    <row r="2" spans="1:33" ht="21.75" thickBot="1" x14ac:dyDescent="0.4">
      <c r="A2" s="25" t="s">
        <v>43</v>
      </c>
      <c r="B2" s="148"/>
      <c r="C2" s="149"/>
      <c r="D2" s="3"/>
      <c r="E2" s="3"/>
      <c r="F2" s="3"/>
      <c r="G2" s="3"/>
      <c r="H2" s="56" t="s">
        <v>44</v>
      </c>
      <c r="I2" s="150"/>
      <c r="J2" s="150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ht="15.75" thickBo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>
        <v>1</v>
      </c>
      <c r="AF3" s="3"/>
      <c r="AG3" s="3" t="s">
        <v>35</v>
      </c>
    </row>
    <row r="4" spans="1:33" ht="27" thickBot="1" x14ac:dyDescent="0.45">
      <c r="A4" s="153" t="s">
        <v>15</v>
      </c>
      <c r="B4" s="154"/>
      <c r="C4" s="155"/>
      <c r="D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>
        <v>2</v>
      </c>
      <c r="AF4" s="3"/>
      <c r="AG4" s="3">
        <v>5</v>
      </c>
    </row>
    <row r="5" spans="1:33" ht="21.75" thickBot="1" x14ac:dyDescent="0.4">
      <c r="A5" s="25" t="s">
        <v>13</v>
      </c>
      <c r="B5" s="26" t="s">
        <v>0</v>
      </c>
      <c r="C5" s="36" t="s">
        <v>42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1:33" ht="19.5" thickBot="1" x14ac:dyDescent="0.35">
      <c r="A6" s="114">
        <f>(1-(S8/V8))</f>
        <v>0.24657782704493747</v>
      </c>
      <c r="B6" s="121">
        <f>(1-(S8/W10))</f>
        <v>0.48717064094192075</v>
      </c>
      <c r="C6" s="63" t="s">
        <v>36</v>
      </c>
      <c r="D6" s="111" t="s">
        <v>9</v>
      </c>
      <c r="E6" s="84" t="s">
        <v>28</v>
      </c>
      <c r="F6" s="85"/>
      <c r="G6" s="85"/>
      <c r="H6" s="86"/>
      <c r="I6" s="91" t="s">
        <v>9</v>
      </c>
      <c r="J6" s="92"/>
      <c r="K6" s="3"/>
      <c r="L6" s="3"/>
      <c r="M6" s="84" t="s">
        <v>19</v>
      </c>
      <c r="N6" s="85"/>
      <c r="O6" s="85"/>
      <c r="P6" s="86"/>
      <c r="Q6" s="84" t="s">
        <v>23</v>
      </c>
      <c r="R6" s="85"/>
      <c r="S6" s="86"/>
      <c r="T6" s="84" t="s">
        <v>1</v>
      </c>
      <c r="U6" s="85"/>
      <c r="V6" s="86"/>
      <c r="W6" s="84" t="s">
        <v>29</v>
      </c>
      <c r="X6" s="85"/>
      <c r="Y6" s="86"/>
      <c r="Z6" s="3"/>
      <c r="AA6" s="3"/>
      <c r="AB6" s="3"/>
      <c r="AC6" s="3"/>
      <c r="AD6" s="3"/>
      <c r="AE6" s="3"/>
      <c r="AF6" s="3"/>
      <c r="AG6" s="3"/>
    </row>
    <row r="7" spans="1:33" ht="15.75" thickBot="1" x14ac:dyDescent="0.3">
      <c r="A7" s="115"/>
      <c r="B7" s="122"/>
      <c r="C7" s="151">
        <v>1</v>
      </c>
      <c r="D7" s="112"/>
      <c r="E7" s="65" t="s">
        <v>2</v>
      </c>
      <c r="F7" s="61" t="s">
        <v>3</v>
      </c>
      <c r="G7" s="82" t="s">
        <v>18</v>
      </c>
      <c r="H7" s="83"/>
      <c r="I7" s="65" t="s">
        <v>20</v>
      </c>
      <c r="J7" s="64" t="s">
        <v>21</v>
      </c>
      <c r="K7" s="3"/>
      <c r="L7" s="3"/>
      <c r="M7" s="100" t="s">
        <v>26</v>
      </c>
      <c r="N7" s="101"/>
      <c r="O7" s="129" t="s">
        <v>27</v>
      </c>
      <c r="P7" s="83"/>
      <c r="Q7" s="8" t="s">
        <v>6</v>
      </c>
      <c r="R7" s="6" t="s">
        <v>7</v>
      </c>
      <c r="S7" s="9" t="s">
        <v>8</v>
      </c>
      <c r="T7" s="8" t="s">
        <v>2</v>
      </c>
      <c r="U7" s="6" t="s">
        <v>3</v>
      </c>
      <c r="V7" s="9" t="s">
        <v>5</v>
      </c>
      <c r="W7" s="8" t="s">
        <v>2</v>
      </c>
      <c r="X7" s="6" t="s">
        <v>3</v>
      </c>
      <c r="Y7" s="9" t="s">
        <v>5</v>
      </c>
      <c r="Z7" s="3"/>
      <c r="AA7" s="3"/>
      <c r="AB7" s="3"/>
      <c r="AC7" s="3"/>
      <c r="AD7" s="3"/>
      <c r="AE7" s="3"/>
      <c r="AF7" s="3"/>
      <c r="AG7" s="3"/>
    </row>
    <row r="8" spans="1:33" ht="16.5" thickBot="1" x14ac:dyDescent="0.3">
      <c r="A8" s="116"/>
      <c r="B8" s="123"/>
      <c r="C8" s="152"/>
      <c r="D8" s="156"/>
      <c r="E8" s="70">
        <v>6000</v>
      </c>
      <c r="F8" s="70">
        <v>1500</v>
      </c>
      <c r="G8" s="58">
        <f>H8/F8</f>
        <v>0.31933333333333336</v>
      </c>
      <c r="H8" s="10">
        <f>F8-U8</f>
        <v>479</v>
      </c>
      <c r="I8" s="70">
        <v>1000</v>
      </c>
      <c r="J8" s="70"/>
      <c r="K8" s="3"/>
      <c r="L8" s="3"/>
      <c r="M8" s="87">
        <v>6</v>
      </c>
      <c r="N8" s="88"/>
      <c r="O8" s="89">
        <v>6</v>
      </c>
      <c r="P8" s="90"/>
      <c r="Q8" s="27">
        <f>(PI()*POWER(I8/2,2))/1000000</f>
        <v>0.78539816339744828</v>
      </c>
      <c r="R8" s="28">
        <f>(PI()*POWER(J8/2,2))/1000000</f>
        <v>0</v>
      </c>
      <c r="S8" s="29">
        <f>Q8-R8</f>
        <v>0.78539816339744828</v>
      </c>
      <c r="T8" s="14">
        <f>I8+O8+3*AG4</f>
        <v>1021</v>
      </c>
      <c r="U8" s="15">
        <f>I8+M8+3*AG4</f>
        <v>1021</v>
      </c>
      <c r="V8" s="13">
        <f>(T8*U8)/1000000</f>
        <v>1.042441</v>
      </c>
      <c r="W8" s="14">
        <f>T8</f>
        <v>1021</v>
      </c>
      <c r="X8" s="22">
        <f>F8</f>
        <v>1500</v>
      </c>
      <c r="Y8" s="16">
        <f>(W8*X8)/1000000</f>
        <v>1.5315000000000001</v>
      </c>
      <c r="Z8" s="3"/>
      <c r="AA8" s="3"/>
      <c r="AB8" s="3"/>
      <c r="AC8" s="3"/>
      <c r="AD8" s="3"/>
      <c r="AE8" s="3"/>
      <c r="AF8" s="3"/>
      <c r="AG8" s="3"/>
    </row>
    <row r="9" spans="1:33" ht="21.75" thickBot="1" x14ac:dyDescent="0.4">
      <c r="A9" s="109" t="s">
        <v>31</v>
      </c>
      <c r="B9" s="120"/>
      <c r="C9" s="63" t="s">
        <v>24</v>
      </c>
      <c r="E9" s="75" t="s">
        <v>38</v>
      </c>
      <c r="F9" s="76"/>
      <c r="G9" s="76"/>
      <c r="H9" s="77"/>
      <c r="I9" s="135" t="s">
        <v>30</v>
      </c>
      <c r="J9" s="136"/>
      <c r="K9" s="3"/>
      <c r="L9" s="3"/>
      <c r="Q9" s="75" t="s">
        <v>30</v>
      </c>
      <c r="R9" s="76"/>
      <c r="S9" s="77"/>
      <c r="T9" s="81" t="s">
        <v>37</v>
      </c>
      <c r="U9" s="74"/>
      <c r="V9" s="74"/>
      <c r="W9" s="74"/>
      <c r="X9" s="38"/>
      <c r="Z9" s="3"/>
      <c r="AA9" s="3"/>
      <c r="AB9" s="3"/>
      <c r="AC9" s="3"/>
      <c r="AD9" s="3"/>
      <c r="AE9" s="3"/>
      <c r="AF9" s="3"/>
      <c r="AG9" s="3"/>
    </row>
    <row r="10" spans="1:33" ht="19.5" thickBot="1" x14ac:dyDescent="0.35">
      <c r="A10" s="57">
        <f>1-((S8+P10)/V8)</f>
        <v>0.24657782704493747</v>
      </c>
      <c r="B10" s="34">
        <f>(1-((S8+P10)/W10))</f>
        <v>0.48717064094192075</v>
      </c>
      <c r="C10" s="69">
        <v>1</v>
      </c>
      <c r="D10" s="1"/>
      <c r="E10" s="78">
        <f>C7*H8</f>
        <v>479</v>
      </c>
      <c r="F10" s="79"/>
      <c r="G10" s="79"/>
      <c r="H10" s="80"/>
      <c r="I10" s="78">
        <f>IF(J8&gt;0,1/SQRT(2)*J8,0)</f>
        <v>0</v>
      </c>
      <c r="J10" s="80"/>
      <c r="K10" s="3"/>
      <c r="L10" s="3"/>
      <c r="P10" s="39">
        <f>C10*Q10</f>
        <v>0</v>
      </c>
      <c r="Q10" s="132">
        <f>(POWER(I10,2))/1000000</f>
        <v>0</v>
      </c>
      <c r="R10" s="133"/>
      <c r="S10" s="134"/>
      <c r="T10" s="39">
        <f>T8</f>
        <v>1021</v>
      </c>
      <c r="U10" s="39">
        <f>(F8-U8)*C7</f>
        <v>479</v>
      </c>
      <c r="V10" s="40">
        <f>(T10*U10)/1000000</f>
        <v>0.48905900000000002</v>
      </c>
      <c r="W10" s="39">
        <f>V8+V10*C7</f>
        <v>1.5314999999999999</v>
      </c>
      <c r="X10" s="39">
        <f>F8-U8</f>
        <v>479</v>
      </c>
      <c r="Z10" s="3"/>
      <c r="AA10" s="3"/>
      <c r="AB10" s="3"/>
      <c r="AC10" s="3"/>
      <c r="AD10" s="3"/>
      <c r="AE10" s="3"/>
      <c r="AF10" s="3"/>
      <c r="AG10" s="3"/>
    </row>
    <row r="13" spans="1:33" ht="15.75" thickBot="1" x14ac:dyDescent="0.3"/>
    <row r="14" spans="1:33" ht="23.25" x14ac:dyDescent="0.35">
      <c r="A14" s="137" t="s">
        <v>45</v>
      </c>
      <c r="B14" s="138"/>
      <c r="C14" s="138"/>
      <c r="D14" s="138"/>
      <c r="E14" s="138"/>
      <c r="F14" s="138" t="s">
        <v>46</v>
      </c>
      <c r="G14" s="138"/>
      <c r="H14" s="138"/>
      <c r="I14" s="138"/>
      <c r="J14" s="138"/>
      <c r="K14" s="138"/>
      <c r="L14" s="139"/>
    </row>
    <row r="15" spans="1:33" ht="18.75" customHeight="1" x14ac:dyDescent="0.25">
      <c r="A15" s="140"/>
      <c r="B15" s="141"/>
      <c r="C15" s="141"/>
      <c r="D15" s="141"/>
      <c r="E15" s="141"/>
      <c r="F15" s="144"/>
      <c r="G15" s="144"/>
      <c r="H15" s="144"/>
      <c r="I15" s="144"/>
      <c r="J15" s="144"/>
      <c r="K15" s="144"/>
      <c r="L15" s="145"/>
    </row>
    <row r="16" spans="1:33" x14ac:dyDescent="0.25">
      <c r="A16" s="140"/>
      <c r="B16" s="141"/>
      <c r="C16" s="141"/>
      <c r="D16" s="141"/>
      <c r="E16" s="141"/>
      <c r="F16" s="144"/>
      <c r="G16" s="144"/>
      <c r="H16" s="144"/>
      <c r="I16" s="144"/>
      <c r="J16" s="144"/>
      <c r="K16" s="144"/>
      <c r="L16" s="145"/>
    </row>
    <row r="17" spans="1:12" x14ac:dyDescent="0.25">
      <c r="A17" s="140"/>
      <c r="B17" s="141"/>
      <c r="C17" s="141"/>
      <c r="D17" s="141"/>
      <c r="E17" s="141"/>
      <c r="F17" s="144"/>
      <c r="G17" s="144"/>
      <c r="H17" s="144"/>
      <c r="I17" s="144"/>
      <c r="J17" s="144"/>
      <c r="K17" s="144"/>
      <c r="L17" s="145"/>
    </row>
    <row r="18" spans="1:12" x14ac:dyDescent="0.25">
      <c r="A18" s="140"/>
      <c r="B18" s="141"/>
      <c r="C18" s="141"/>
      <c r="D18" s="141"/>
      <c r="E18" s="141"/>
      <c r="F18" s="144"/>
      <c r="G18" s="144"/>
      <c r="H18" s="144"/>
      <c r="I18" s="144"/>
      <c r="J18" s="144"/>
      <c r="K18" s="144"/>
      <c r="L18" s="145"/>
    </row>
    <row r="19" spans="1:12" x14ac:dyDescent="0.25">
      <c r="A19" s="140"/>
      <c r="B19" s="141"/>
      <c r="C19" s="141"/>
      <c r="D19" s="141"/>
      <c r="E19" s="141"/>
      <c r="F19" s="144"/>
      <c r="G19" s="144"/>
      <c r="H19" s="144"/>
      <c r="I19" s="144"/>
      <c r="J19" s="144"/>
      <c r="K19" s="144"/>
      <c r="L19" s="145"/>
    </row>
    <row r="20" spans="1:12" x14ac:dyDescent="0.25">
      <c r="A20" s="140"/>
      <c r="B20" s="141"/>
      <c r="C20" s="141"/>
      <c r="D20" s="141"/>
      <c r="E20" s="141"/>
      <c r="F20" s="144"/>
      <c r="G20" s="144"/>
      <c r="H20" s="144"/>
      <c r="I20" s="144"/>
      <c r="J20" s="144"/>
      <c r="K20" s="144"/>
      <c r="L20" s="145"/>
    </row>
    <row r="21" spans="1:12" x14ac:dyDescent="0.25">
      <c r="A21" s="140"/>
      <c r="B21" s="141"/>
      <c r="C21" s="141"/>
      <c r="D21" s="141"/>
      <c r="E21" s="141"/>
      <c r="F21" s="144"/>
      <c r="G21" s="144"/>
      <c r="H21" s="144"/>
      <c r="I21" s="144"/>
      <c r="J21" s="144"/>
      <c r="K21" s="144"/>
      <c r="L21" s="145"/>
    </row>
    <row r="22" spans="1:12" x14ac:dyDescent="0.25">
      <c r="A22" s="140"/>
      <c r="B22" s="141"/>
      <c r="C22" s="141"/>
      <c r="D22" s="141"/>
      <c r="E22" s="141"/>
      <c r="F22" s="144"/>
      <c r="G22" s="144"/>
      <c r="H22" s="144"/>
      <c r="I22" s="144"/>
      <c r="J22" s="144"/>
      <c r="K22" s="144"/>
      <c r="L22" s="145"/>
    </row>
    <row r="23" spans="1:12" x14ac:dyDescent="0.25">
      <c r="A23" s="140"/>
      <c r="B23" s="141"/>
      <c r="C23" s="141"/>
      <c r="D23" s="141"/>
      <c r="E23" s="141"/>
      <c r="F23" s="144"/>
      <c r="G23" s="144"/>
      <c r="H23" s="144"/>
      <c r="I23" s="144"/>
      <c r="J23" s="144"/>
      <c r="K23" s="144"/>
      <c r="L23" s="145"/>
    </row>
    <row r="24" spans="1:12" x14ac:dyDescent="0.25">
      <c r="A24" s="140"/>
      <c r="B24" s="141"/>
      <c r="C24" s="141"/>
      <c r="D24" s="141"/>
      <c r="E24" s="141"/>
      <c r="F24" s="144"/>
      <c r="G24" s="144"/>
      <c r="H24" s="144"/>
      <c r="I24" s="144"/>
      <c r="J24" s="144"/>
      <c r="K24" s="144"/>
      <c r="L24" s="145"/>
    </row>
    <row r="25" spans="1:12" x14ac:dyDescent="0.25">
      <c r="A25" s="140"/>
      <c r="B25" s="141"/>
      <c r="C25" s="141"/>
      <c r="D25" s="141"/>
      <c r="E25" s="141"/>
      <c r="F25" s="144"/>
      <c r="G25" s="144"/>
      <c r="H25" s="144"/>
      <c r="I25" s="144"/>
      <c r="J25" s="144"/>
      <c r="K25" s="144"/>
      <c r="L25" s="145"/>
    </row>
    <row r="26" spans="1:12" x14ac:dyDescent="0.25">
      <c r="A26" s="140"/>
      <c r="B26" s="141"/>
      <c r="C26" s="141"/>
      <c r="D26" s="141"/>
      <c r="E26" s="141"/>
      <c r="F26" s="144"/>
      <c r="G26" s="144"/>
      <c r="H26" s="144"/>
      <c r="I26" s="144"/>
      <c r="J26" s="144"/>
      <c r="K26" s="144"/>
      <c r="L26" s="145"/>
    </row>
    <row r="27" spans="1:12" x14ac:dyDescent="0.25">
      <c r="A27" s="140"/>
      <c r="B27" s="141"/>
      <c r="C27" s="141"/>
      <c r="D27" s="141"/>
      <c r="E27" s="141"/>
      <c r="F27" s="144"/>
      <c r="G27" s="144"/>
      <c r="H27" s="144"/>
      <c r="I27" s="144"/>
      <c r="J27" s="144"/>
      <c r="K27" s="144"/>
      <c r="L27" s="145"/>
    </row>
    <row r="28" spans="1:12" x14ac:dyDescent="0.25">
      <c r="A28" s="140"/>
      <c r="B28" s="141"/>
      <c r="C28" s="141"/>
      <c r="D28" s="141"/>
      <c r="E28" s="141"/>
      <c r="F28" s="144"/>
      <c r="G28" s="144"/>
      <c r="H28" s="144"/>
      <c r="I28" s="144"/>
      <c r="J28" s="144"/>
      <c r="K28" s="144"/>
      <c r="L28" s="145"/>
    </row>
    <row r="29" spans="1:12" x14ac:dyDescent="0.25">
      <c r="A29" s="140"/>
      <c r="B29" s="141"/>
      <c r="C29" s="141"/>
      <c r="D29" s="141"/>
      <c r="E29" s="141"/>
      <c r="F29" s="144"/>
      <c r="G29" s="144"/>
      <c r="H29" s="144"/>
      <c r="I29" s="144"/>
      <c r="J29" s="144"/>
      <c r="K29" s="144"/>
      <c r="L29" s="145"/>
    </row>
    <row r="30" spans="1:12" ht="15.75" thickBot="1" x14ac:dyDescent="0.3">
      <c r="A30" s="142"/>
      <c r="B30" s="143"/>
      <c r="C30" s="143"/>
      <c r="D30" s="143"/>
      <c r="E30" s="143"/>
      <c r="F30" s="146"/>
      <c r="G30" s="146"/>
      <c r="H30" s="146"/>
      <c r="I30" s="146"/>
      <c r="J30" s="146"/>
      <c r="K30" s="146"/>
      <c r="L30" s="147"/>
    </row>
  </sheetData>
  <sheetProtection sheet="1" scenarios="1"/>
  <mergeCells count="30">
    <mergeCell ref="T9:W9"/>
    <mergeCell ref="E10:H10"/>
    <mergeCell ref="I10:J10"/>
    <mergeCell ref="Q10:S10"/>
    <mergeCell ref="M6:P6"/>
    <mergeCell ref="Q6:S6"/>
    <mergeCell ref="T6:V6"/>
    <mergeCell ref="W6:Y6"/>
    <mergeCell ref="G7:H7"/>
    <mergeCell ref="M7:N7"/>
    <mergeCell ref="O7:P7"/>
    <mergeCell ref="M8:N8"/>
    <mergeCell ref="O8:P8"/>
    <mergeCell ref="E6:H6"/>
    <mergeCell ref="I6:J6"/>
    <mergeCell ref="Q9:S9"/>
    <mergeCell ref="A14:E14"/>
    <mergeCell ref="F14:L14"/>
    <mergeCell ref="A15:E30"/>
    <mergeCell ref="F15:L30"/>
    <mergeCell ref="B2:C2"/>
    <mergeCell ref="A9:B9"/>
    <mergeCell ref="E9:H9"/>
    <mergeCell ref="I9:J9"/>
    <mergeCell ref="I2:J2"/>
    <mergeCell ref="C7:C8"/>
    <mergeCell ref="A4:C4"/>
    <mergeCell ref="A6:A8"/>
    <mergeCell ref="B6:B8"/>
    <mergeCell ref="D6:D8"/>
  </mergeCells>
  <conditionalFormatting sqref="A9:D10 I9:J10 M9:S10">
    <cfRule type="expression" dxfId="3" priority="1">
      <formula>$J$8&lt;=0</formula>
    </cfRule>
  </conditionalFormatting>
  <dataValidations count="11">
    <dataValidation type="custom" showInputMessage="1" showErrorMessage="1" errorTitle="Erreur" error="La pièce ne rentre pas dans le format_x000a_Ou le Ø exterieur &gt; Ø  interieur" sqref="I8">
      <formula1>AND(NOT(ISBLANK(I8)),T8&lt;E8,U8&lt;F8,I8&gt;J8)</formula1>
    </dataValidation>
    <dataValidation type="decimal" allowBlank="1" showInputMessage="1" showErrorMessage="1" errorTitle="Erreur" error="Doit etre entre 0% et 100%" sqref="C10">
      <formula1>0</formula1>
      <formula2>1</formula2>
    </dataValidation>
    <dataValidation allowBlank="1" showInputMessage="1" showErrorMessage="1" errorTitle="Erreur" error="Le format est trop petit" sqref="E10"/>
    <dataValidation type="custom" allowBlank="1" showInputMessage="1" showErrorMessage="1" errorTitle="Erreur" error="Le Ø interieur:_x000a_-Doit inferieur au diametre exterieur_x000a_-Doit etre &gt;=0_x000a_" sqref="J8">
      <formula1>AND(I8&gt;J8,J8&gt;=0)</formula1>
    </dataValidation>
    <dataValidation type="custom" allowBlank="1" showInputMessage="1" showErrorMessage="1" errorTitle="Erreur" error="L'ecart gache ne peut etre négatif" sqref="O8:P8">
      <formula1>O8&gt;=0</formula1>
    </dataValidation>
    <dataValidation type="custom" allowBlank="1" showInputMessage="1" showErrorMessage="1" errorTitle="Erreur" error="L'ecart bas ne peut etre négatif" sqref="M8:N8">
      <formula1>M8&gt;=0</formula1>
    </dataValidation>
    <dataValidation type="custom" allowBlank="1" showInputMessage="1" showErrorMessage="1" errorTitle="Erreur" error="Le Ø interieur doit inferieur au diametre exterieur" sqref="Q9 I9">
      <formula1>#REF!&gt;I9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showInputMessage="1" showErrorMessage="1" errorTitle="Erreur" error="Le format est trop petit" sqref="F8">
      <formula1>AND(NOT(ISBLANK(F8)),F8&gt;0,U8&lt;F8)</formula1>
    </dataValidation>
    <dataValidation type="custom" showInputMessage="1" showErrorMessage="1" errorTitle="Erreur" error="Le format est trop petit" sqref="E8">
      <formula1>AND(NOT(ISBLANK(E8)),T8&lt;E8)</formula1>
    </dataValidation>
    <dataValidation type="decimal" allowBlank="1" showInputMessage="1" showErrorMessage="1" errorTitle="Erreur" error="Doit etre entre 0% et 100%" sqref="C7:C8">
      <formula1>0</formula1>
      <formula2>1</formula2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headerFooter>
    <oddHeader>&amp;L&amp;G&amp;C&amp;"-,Gras"&amp;16&amp;UCalcul des Taux de Chutes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DrawDisqueRepresentation">
                <anchor moveWithCells="1" sizeWithCells="1">
                  <from>
                    <xdr:col>12</xdr:col>
                    <xdr:colOff>371475</xdr:colOff>
                    <xdr:row>13</xdr:row>
                    <xdr:rowOff>66675</xdr:rowOff>
                  </from>
                  <to>
                    <xdr:col>14</xdr:col>
                    <xdr:colOff>647700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learShapes">
                <anchor moveWithCells="1" sizeWithCells="1">
                  <from>
                    <xdr:col>12</xdr:col>
                    <xdr:colOff>390525</xdr:colOff>
                    <xdr:row>16</xdr:row>
                    <xdr:rowOff>85725</xdr:rowOff>
                  </from>
                  <to>
                    <xdr:col>14</xdr:col>
                    <xdr:colOff>685800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G38"/>
  <sheetViews>
    <sheetView view="pageBreakPreview" zoomScaleNormal="89" zoomScaleSheetLayoutView="100" workbookViewId="0">
      <selection activeCell="J10" sqref="J10"/>
    </sheetView>
  </sheetViews>
  <sheetFormatPr baseColWidth="10" defaultRowHeight="15" x14ac:dyDescent="0.25"/>
  <cols>
    <col min="1" max="1" width="18.42578125" bestFit="1" customWidth="1"/>
    <col min="2" max="2" width="9.7109375" bestFit="1" customWidth="1"/>
    <col min="3" max="3" width="27" customWidth="1"/>
    <col min="12" max="12" width="11.42578125" customWidth="1"/>
    <col min="13" max="33" width="11.42578125" hidden="1" customWidth="1"/>
  </cols>
  <sheetData>
    <row r="1" spans="1:33" ht="69.95" customHeight="1" thickBot="1" x14ac:dyDescent="0.3"/>
    <row r="2" spans="1:33" ht="21.75" thickBot="1" x14ac:dyDescent="0.4">
      <c r="A2" s="25" t="s">
        <v>43</v>
      </c>
      <c r="B2" s="148"/>
      <c r="C2" s="149"/>
      <c r="D2" s="3"/>
      <c r="E2" s="3"/>
      <c r="F2" s="3"/>
      <c r="G2" s="3"/>
      <c r="H2" s="56" t="s">
        <v>44</v>
      </c>
      <c r="I2" s="150"/>
      <c r="J2" s="150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ht="15.75" thickBo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>
        <v>1</v>
      </c>
      <c r="AF3" s="3"/>
      <c r="AG3" s="3" t="s">
        <v>35</v>
      </c>
    </row>
    <row r="4" spans="1:33" ht="27" thickBot="1" x14ac:dyDescent="0.45">
      <c r="A4" s="153" t="s">
        <v>15</v>
      </c>
      <c r="B4" s="154"/>
      <c r="C4" s="155"/>
      <c r="D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>
        <v>2</v>
      </c>
      <c r="AF4" s="3"/>
      <c r="AG4" s="3">
        <v>5</v>
      </c>
    </row>
    <row r="5" spans="1:33" ht="21.75" thickBot="1" x14ac:dyDescent="0.4">
      <c r="A5" s="25" t="s">
        <v>13</v>
      </c>
      <c r="B5" s="41" t="s">
        <v>0</v>
      </c>
      <c r="C5" s="42" t="s">
        <v>42</v>
      </c>
      <c r="D5" s="37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1:33" ht="19.5" thickBot="1" x14ac:dyDescent="0.35">
      <c r="A6" s="114">
        <f>1-(S8/V8)</f>
        <v>5.1889158257713563E-2</v>
      </c>
      <c r="B6" s="121">
        <f>1-(S8/W10)</f>
        <v>0.67543005517689059</v>
      </c>
      <c r="C6" s="63" t="s">
        <v>36</v>
      </c>
      <c r="D6" s="117" t="s">
        <v>10</v>
      </c>
      <c r="E6" s="84" t="s">
        <v>28</v>
      </c>
      <c r="F6" s="85"/>
      <c r="G6" s="85"/>
      <c r="H6" s="86"/>
      <c r="I6" s="91" t="s">
        <v>34</v>
      </c>
      <c r="J6" s="92"/>
      <c r="K6" s="91" t="s">
        <v>33</v>
      </c>
      <c r="L6" s="92"/>
      <c r="M6" s="91" t="s">
        <v>19</v>
      </c>
      <c r="N6" s="92"/>
      <c r="O6" s="92"/>
      <c r="P6" s="93"/>
      <c r="Q6" s="84" t="s">
        <v>23</v>
      </c>
      <c r="R6" s="85"/>
      <c r="S6" s="86"/>
      <c r="T6" s="84" t="s">
        <v>1</v>
      </c>
      <c r="U6" s="85"/>
      <c r="V6" s="86"/>
      <c r="W6" s="84" t="s">
        <v>29</v>
      </c>
      <c r="X6" s="85"/>
      <c r="Y6" s="86"/>
      <c r="Z6" s="3"/>
      <c r="AA6" s="4"/>
      <c r="AB6" s="3"/>
      <c r="AC6" s="3"/>
      <c r="AD6" s="3"/>
      <c r="AE6" s="3"/>
      <c r="AF6" s="3"/>
      <c r="AG6" s="3"/>
    </row>
    <row r="7" spans="1:33" ht="15.75" thickBot="1" x14ac:dyDescent="0.3">
      <c r="A7" s="115"/>
      <c r="B7" s="122"/>
      <c r="C7" s="151">
        <v>1</v>
      </c>
      <c r="D7" s="118"/>
      <c r="E7" s="62" t="s">
        <v>2</v>
      </c>
      <c r="F7" s="61" t="s">
        <v>3</v>
      </c>
      <c r="G7" s="82" t="s">
        <v>18</v>
      </c>
      <c r="H7" s="83"/>
      <c r="I7" s="62" t="s">
        <v>2</v>
      </c>
      <c r="J7" s="61" t="s">
        <v>3</v>
      </c>
      <c r="K7" s="62" t="s">
        <v>2</v>
      </c>
      <c r="L7" s="61" t="s">
        <v>3</v>
      </c>
      <c r="M7" s="100" t="s">
        <v>26</v>
      </c>
      <c r="N7" s="101"/>
      <c r="O7" s="129" t="s">
        <v>27</v>
      </c>
      <c r="P7" s="105"/>
      <c r="Q7" s="8" t="s">
        <v>6</v>
      </c>
      <c r="R7" s="6" t="s">
        <v>7</v>
      </c>
      <c r="S7" s="9" t="s">
        <v>8</v>
      </c>
      <c r="T7" s="8" t="s">
        <v>2</v>
      </c>
      <c r="U7" s="6" t="s">
        <v>3</v>
      </c>
      <c r="V7" s="9" t="s">
        <v>5</v>
      </c>
      <c r="W7" s="8" t="s">
        <v>2</v>
      </c>
      <c r="X7" s="6" t="s">
        <v>3</v>
      </c>
      <c r="Y7" s="9" t="s">
        <v>5</v>
      </c>
      <c r="Z7" s="3"/>
      <c r="AA7" s="3" t="s">
        <v>14</v>
      </c>
      <c r="AB7" s="3"/>
      <c r="AC7" s="3"/>
      <c r="AD7" s="3"/>
      <c r="AE7" s="3"/>
      <c r="AF7" s="3"/>
      <c r="AG7" s="3"/>
    </row>
    <row r="8" spans="1:33" ht="16.5" thickBot="1" x14ac:dyDescent="0.3">
      <c r="A8" s="116"/>
      <c r="B8" s="123"/>
      <c r="C8" s="152"/>
      <c r="D8" s="160"/>
      <c r="E8" s="70">
        <v>6000</v>
      </c>
      <c r="F8" s="70">
        <v>3000</v>
      </c>
      <c r="G8" s="58">
        <f>H8/F8</f>
        <v>0.65766666666666662</v>
      </c>
      <c r="H8" s="10">
        <f>F8-U8</f>
        <v>1973</v>
      </c>
      <c r="I8" s="70">
        <v>1000</v>
      </c>
      <c r="J8" s="71">
        <v>1000</v>
      </c>
      <c r="K8" s="70"/>
      <c r="L8" s="70"/>
      <c r="M8" s="159">
        <v>6</v>
      </c>
      <c r="N8" s="88"/>
      <c r="O8" s="89">
        <v>6</v>
      </c>
      <c r="P8" s="90"/>
      <c r="Q8" s="11">
        <f xml:space="preserve"> (I8*J8)/1000000</f>
        <v>1</v>
      </c>
      <c r="R8" s="12">
        <f>(K8*L8)/1000000</f>
        <v>0</v>
      </c>
      <c r="S8" s="13">
        <f>Q8-R8</f>
        <v>1</v>
      </c>
      <c r="T8" s="14">
        <f>I8+2*O8+3*AG4</f>
        <v>1027</v>
      </c>
      <c r="U8" s="22">
        <f xml:space="preserve"> J8+2*M8+3*AG4</f>
        <v>1027</v>
      </c>
      <c r="V8" s="13">
        <f>(T8*U8)/1000000</f>
        <v>1.054729</v>
      </c>
      <c r="W8" s="14">
        <f>T8</f>
        <v>1027</v>
      </c>
      <c r="X8" s="15">
        <f>F8</f>
        <v>3000</v>
      </c>
      <c r="Y8" s="13">
        <f>(W8*X8)/1000000</f>
        <v>3.081</v>
      </c>
      <c r="Z8" s="3"/>
      <c r="AA8" s="4">
        <f>1-(S8/V8)</f>
        <v>5.1889158257713563E-2</v>
      </c>
      <c r="AB8" s="4">
        <f>1-(S8/Y8)</f>
        <v>0.67543005517689059</v>
      </c>
      <c r="AC8" s="3"/>
      <c r="AD8" s="3"/>
      <c r="AE8" s="3"/>
      <c r="AF8" s="3"/>
      <c r="AG8" s="3"/>
    </row>
    <row r="9" spans="1:33" ht="21.75" thickBot="1" x14ac:dyDescent="0.4">
      <c r="A9" s="109" t="s">
        <v>32</v>
      </c>
      <c r="B9" s="110"/>
      <c r="C9" s="66" t="s">
        <v>41</v>
      </c>
      <c r="E9" s="157" t="s">
        <v>38</v>
      </c>
      <c r="F9" s="158"/>
      <c r="G9" s="76"/>
      <c r="H9" s="77"/>
      <c r="R9" s="39">
        <f>R8*C10</f>
        <v>0</v>
      </c>
      <c r="S9" s="39"/>
      <c r="T9" s="74" t="s">
        <v>37</v>
      </c>
      <c r="U9" s="74"/>
      <c r="V9" s="74"/>
      <c r="W9" s="74"/>
      <c r="Z9" s="3"/>
      <c r="AA9" s="4"/>
      <c r="AB9" s="4"/>
      <c r="AC9" s="3"/>
      <c r="AD9" s="3"/>
      <c r="AE9" s="3"/>
      <c r="AF9" s="3"/>
      <c r="AG9" s="3"/>
    </row>
    <row r="10" spans="1:33" ht="19.5" thickBot="1" x14ac:dyDescent="0.35">
      <c r="A10" s="57">
        <f>1-((S8+R9)/V8)</f>
        <v>5.1889158257713563E-2</v>
      </c>
      <c r="B10" s="34">
        <f>1-((S8+R9)/W10)</f>
        <v>0.67543005517689059</v>
      </c>
      <c r="C10" s="69">
        <v>1</v>
      </c>
      <c r="E10" s="78">
        <f>C7*H8</f>
        <v>1973</v>
      </c>
      <c r="F10" s="79"/>
      <c r="G10" s="79"/>
      <c r="H10" s="80"/>
      <c r="R10" s="39"/>
      <c r="S10" s="39"/>
      <c r="T10" s="39">
        <f>T8</f>
        <v>1027</v>
      </c>
      <c r="U10" s="39">
        <f>(F8-U8)*C7</f>
        <v>1973</v>
      </c>
      <c r="V10" s="40">
        <f>(T10*U10)/1000000</f>
        <v>2.0262709999999999</v>
      </c>
      <c r="W10" s="50">
        <f>V8+V10*C7</f>
        <v>3.081</v>
      </c>
      <c r="X10" s="50">
        <f>F8-U8</f>
        <v>1973</v>
      </c>
      <c r="Z10" s="3"/>
      <c r="AA10" s="4"/>
      <c r="AB10" s="4"/>
      <c r="AC10" s="3"/>
      <c r="AD10" s="3"/>
      <c r="AE10" s="3"/>
      <c r="AF10" s="3"/>
      <c r="AG10" s="3"/>
    </row>
    <row r="11" spans="1:33" x14ac:dyDescent="0.25">
      <c r="C11" s="67"/>
    </row>
    <row r="13" spans="1:33" ht="15.75" thickBot="1" x14ac:dyDescent="0.3"/>
    <row r="14" spans="1:33" ht="23.25" x14ac:dyDescent="0.35">
      <c r="A14" s="137" t="s">
        <v>45</v>
      </c>
      <c r="B14" s="138"/>
      <c r="C14" s="138"/>
      <c r="D14" s="138"/>
      <c r="E14" s="138"/>
      <c r="F14" s="138" t="s">
        <v>46</v>
      </c>
      <c r="G14" s="138"/>
      <c r="H14" s="138"/>
      <c r="I14" s="138"/>
      <c r="J14" s="138"/>
      <c r="K14" s="138"/>
      <c r="L14" s="139"/>
    </row>
    <row r="15" spans="1:33" x14ac:dyDescent="0.25">
      <c r="A15" s="140"/>
      <c r="B15" s="141"/>
      <c r="C15" s="141"/>
      <c r="D15" s="141"/>
      <c r="E15" s="141"/>
      <c r="F15" s="144"/>
      <c r="G15" s="144"/>
      <c r="H15" s="144"/>
      <c r="I15" s="144"/>
      <c r="J15" s="144"/>
      <c r="K15" s="144"/>
      <c r="L15" s="145"/>
    </row>
    <row r="16" spans="1:33" x14ac:dyDescent="0.25">
      <c r="A16" s="140"/>
      <c r="B16" s="141"/>
      <c r="C16" s="141"/>
      <c r="D16" s="141"/>
      <c r="E16" s="141"/>
      <c r="F16" s="144"/>
      <c r="G16" s="144"/>
      <c r="H16" s="144"/>
      <c r="I16" s="144"/>
      <c r="J16" s="144"/>
      <c r="K16" s="144"/>
      <c r="L16" s="145"/>
    </row>
    <row r="17" spans="1:12" x14ac:dyDescent="0.25">
      <c r="A17" s="140"/>
      <c r="B17" s="141"/>
      <c r="C17" s="141"/>
      <c r="D17" s="141"/>
      <c r="E17" s="141"/>
      <c r="F17" s="144"/>
      <c r="G17" s="144"/>
      <c r="H17" s="144"/>
      <c r="I17" s="144"/>
      <c r="J17" s="144"/>
      <c r="K17" s="144"/>
      <c r="L17" s="145"/>
    </row>
    <row r="18" spans="1:12" x14ac:dyDescent="0.25">
      <c r="A18" s="140"/>
      <c r="B18" s="141"/>
      <c r="C18" s="141"/>
      <c r="D18" s="141"/>
      <c r="E18" s="141"/>
      <c r="F18" s="144"/>
      <c r="G18" s="144"/>
      <c r="H18" s="144"/>
      <c r="I18" s="144"/>
      <c r="J18" s="144"/>
      <c r="K18" s="144"/>
      <c r="L18" s="145"/>
    </row>
    <row r="19" spans="1:12" x14ac:dyDescent="0.25">
      <c r="A19" s="140"/>
      <c r="B19" s="141"/>
      <c r="C19" s="141"/>
      <c r="D19" s="141"/>
      <c r="E19" s="141"/>
      <c r="F19" s="144"/>
      <c r="G19" s="144"/>
      <c r="H19" s="144"/>
      <c r="I19" s="144"/>
      <c r="J19" s="144"/>
      <c r="K19" s="144"/>
      <c r="L19" s="145"/>
    </row>
    <row r="20" spans="1:12" x14ac:dyDescent="0.25">
      <c r="A20" s="140"/>
      <c r="B20" s="141"/>
      <c r="C20" s="141"/>
      <c r="D20" s="141"/>
      <c r="E20" s="141"/>
      <c r="F20" s="144"/>
      <c r="G20" s="144"/>
      <c r="H20" s="144"/>
      <c r="I20" s="144"/>
      <c r="J20" s="144"/>
      <c r="K20" s="144"/>
      <c r="L20" s="145"/>
    </row>
    <row r="21" spans="1:12" x14ac:dyDescent="0.25">
      <c r="A21" s="140"/>
      <c r="B21" s="141"/>
      <c r="C21" s="141"/>
      <c r="D21" s="141"/>
      <c r="E21" s="141"/>
      <c r="F21" s="144"/>
      <c r="G21" s="144"/>
      <c r="H21" s="144"/>
      <c r="I21" s="144"/>
      <c r="J21" s="144"/>
      <c r="K21" s="144"/>
      <c r="L21" s="145"/>
    </row>
    <row r="22" spans="1:12" x14ac:dyDescent="0.25">
      <c r="A22" s="140"/>
      <c r="B22" s="141"/>
      <c r="C22" s="141"/>
      <c r="D22" s="141"/>
      <c r="E22" s="141"/>
      <c r="F22" s="144"/>
      <c r="G22" s="144"/>
      <c r="H22" s="144"/>
      <c r="I22" s="144"/>
      <c r="J22" s="144"/>
      <c r="K22" s="144"/>
      <c r="L22" s="145"/>
    </row>
    <row r="23" spans="1:12" x14ac:dyDescent="0.25">
      <c r="A23" s="140"/>
      <c r="B23" s="141"/>
      <c r="C23" s="141"/>
      <c r="D23" s="141"/>
      <c r="E23" s="141"/>
      <c r="F23" s="144"/>
      <c r="G23" s="144"/>
      <c r="H23" s="144"/>
      <c r="I23" s="144"/>
      <c r="J23" s="144"/>
      <c r="K23" s="144"/>
      <c r="L23" s="145"/>
    </row>
    <row r="24" spans="1:12" x14ac:dyDescent="0.25">
      <c r="A24" s="140"/>
      <c r="B24" s="141"/>
      <c r="C24" s="141"/>
      <c r="D24" s="141"/>
      <c r="E24" s="141"/>
      <c r="F24" s="144"/>
      <c r="G24" s="144"/>
      <c r="H24" s="144"/>
      <c r="I24" s="144"/>
      <c r="J24" s="144"/>
      <c r="K24" s="144"/>
      <c r="L24" s="145"/>
    </row>
    <row r="25" spans="1:12" x14ac:dyDescent="0.25">
      <c r="A25" s="140"/>
      <c r="B25" s="141"/>
      <c r="C25" s="141"/>
      <c r="D25" s="141"/>
      <c r="E25" s="141"/>
      <c r="F25" s="144"/>
      <c r="G25" s="144"/>
      <c r="H25" s="144"/>
      <c r="I25" s="144"/>
      <c r="J25" s="144"/>
      <c r="K25" s="144"/>
      <c r="L25" s="145"/>
    </row>
    <row r="26" spans="1:12" x14ac:dyDescent="0.25">
      <c r="A26" s="140"/>
      <c r="B26" s="141"/>
      <c r="C26" s="141"/>
      <c r="D26" s="141"/>
      <c r="E26" s="141"/>
      <c r="F26" s="144"/>
      <c r="G26" s="144"/>
      <c r="H26" s="144"/>
      <c r="I26" s="144"/>
      <c r="J26" s="144"/>
      <c r="K26" s="144"/>
      <c r="L26" s="145"/>
    </row>
    <row r="27" spans="1:12" x14ac:dyDescent="0.25">
      <c r="A27" s="140"/>
      <c r="B27" s="141"/>
      <c r="C27" s="141"/>
      <c r="D27" s="141"/>
      <c r="E27" s="141"/>
      <c r="F27" s="144"/>
      <c r="G27" s="144"/>
      <c r="H27" s="144"/>
      <c r="I27" s="144"/>
      <c r="J27" s="144"/>
      <c r="K27" s="144"/>
      <c r="L27" s="145"/>
    </row>
    <row r="28" spans="1:12" x14ac:dyDescent="0.25">
      <c r="A28" s="140"/>
      <c r="B28" s="141"/>
      <c r="C28" s="141"/>
      <c r="D28" s="141"/>
      <c r="E28" s="141"/>
      <c r="F28" s="144"/>
      <c r="G28" s="144"/>
      <c r="H28" s="144"/>
      <c r="I28" s="144"/>
      <c r="J28" s="144"/>
      <c r="K28" s="144"/>
      <c r="L28" s="145"/>
    </row>
    <row r="29" spans="1:12" x14ac:dyDescent="0.25">
      <c r="A29" s="140"/>
      <c r="B29" s="141"/>
      <c r="C29" s="141"/>
      <c r="D29" s="141"/>
      <c r="E29" s="141"/>
      <c r="F29" s="144"/>
      <c r="G29" s="144"/>
      <c r="H29" s="144"/>
      <c r="I29" s="144"/>
      <c r="J29" s="144"/>
      <c r="K29" s="144"/>
      <c r="L29" s="145"/>
    </row>
    <row r="30" spans="1:12" ht="15.75" thickBot="1" x14ac:dyDescent="0.3">
      <c r="A30" s="142"/>
      <c r="B30" s="143"/>
      <c r="C30" s="143"/>
      <c r="D30" s="143"/>
      <c r="E30" s="143"/>
      <c r="F30" s="146"/>
      <c r="G30" s="146"/>
      <c r="H30" s="146"/>
      <c r="I30" s="146"/>
      <c r="J30" s="146"/>
      <c r="K30" s="146"/>
      <c r="L30" s="147"/>
    </row>
    <row r="37" spans="20:22" x14ac:dyDescent="0.25">
      <c r="V37">
        <f>150*5</f>
        <v>750</v>
      </c>
    </row>
    <row r="38" spans="20:22" x14ac:dyDescent="0.25">
      <c r="T38" s="1"/>
    </row>
  </sheetData>
  <sheetProtection sheet="1" scenarios="1"/>
  <mergeCells count="27">
    <mergeCell ref="A4:C4"/>
    <mergeCell ref="I2:J2"/>
    <mergeCell ref="B6:B8"/>
    <mergeCell ref="D6:D8"/>
    <mergeCell ref="E6:H6"/>
    <mergeCell ref="I6:J6"/>
    <mergeCell ref="B2:C2"/>
    <mergeCell ref="T9:W9"/>
    <mergeCell ref="E10:H10"/>
    <mergeCell ref="M6:P6"/>
    <mergeCell ref="Q6:S6"/>
    <mergeCell ref="T6:V6"/>
    <mergeCell ref="W6:Y6"/>
    <mergeCell ref="G7:H7"/>
    <mergeCell ref="M7:N7"/>
    <mergeCell ref="O7:P7"/>
    <mergeCell ref="M8:N8"/>
    <mergeCell ref="O8:P8"/>
    <mergeCell ref="A14:E14"/>
    <mergeCell ref="F14:L14"/>
    <mergeCell ref="A15:E30"/>
    <mergeCell ref="F15:L30"/>
    <mergeCell ref="K6:L6"/>
    <mergeCell ref="A9:B9"/>
    <mergeCell ref="E9:H9"/>
    <mergeCell ref="C7:C8"/>
    <mergeCell ref="A6:A8"/>
  </mergeCells>
  <conditionalFormatting sqref="A9:C10">
    <cfRule type="expression" dxfId="2" priority="3">
      <formula>OR($K$8&lt;=0,$L$8&lt;=0)</formula>
    </cfRule>
  </conditionalFormatting>
  <conditionalFormatting sqref="C10">
    <cfRule type="expression" dxfId="1" priority="2">
      <formula>#REF!&lt;=0</formula>
    </cfRule>
  </conditionalFormatting>
  <conditionalFormatting sqref="C9">
    <cfRule type="expression" dxfId="0" priority="1">
      <formula>#REF!&lt;=0</formula>
    </cfRule>
  </conditionalFormatting>
  <dataValidations count="15">
    <dataValidation type="decimal" allowBlank="1" showInputMessage="1" showErrorMessage="1" errorTitle="Erreur" error="Doit etre entre 0% et 100%" sqref="C7:C8 C10">
      <formula1>0</formula1>
      <formula2>1</formula2>
    </dataValidation>
    <dataValidation allowBlank="1" showInputMessage="1" showErrorMessage="1" errorTitle="Erreur" error="Le format est trop petit" sqref="E10"/>
    <dataValidation type="custom" allowBlank="1" showInputMessage="1" showErrorMessage="1" errorTitle="Erreur" error="La largeur interieure doit etre inferieure à la largeur exterieure _x000a_et ne peut etre négatif" sqref="L8">
      <formula1>AND(J8&gt;L8,L8&gt;=0)</formula1>
    </dataValidation>
    <dataValidation type="custom" allowBlank="1" showInputMessage="1" showErrorMessage="1" errorTitle="Erreur" error="La longueur interieure doit etre inferieure à la longueur exterieure _x000a_et ne peut etre négatif " sqref="K8">
      <formula1>AND(I8&gt;K8,K8&gt;=0)</formula1>
    </dataValidation>
    <dataValidation type="custom" allowBlank="1" showInputMessage="1" showErrorMessage="1" errorTitle="Erreur" error="L'ecart gache ne peut etre négatif" sqref="O8:P8">
      <formula1>O8&gt;=0</formula1>
    </dataValidation>
    <dataValidation type="custom" allowBlank="1" showInputMessage="1" showErrorMessage="1" errorTitle="Erreur" error="L'ecart bas ne peut etre négatif" sqref="M8:N8">
      <formula1>M8&gt;=0</formula1>
    </dataValidation>
    <dataValidation type="custom" showInputMessage="1" showErrorMessage="1" errorTitle="Erreur" error="La pièce ne rentre pas dans le format_x000a_ou la valeur&gt;0" sqref="I8">
      <formula1>AND(T8&lt;E8,I8&gt;0,NOT(ISBLANK(I8)),I8&gt;K8)</formula1>
    </dataValidation>
    <dataValidation type="custom" allowBlank="1" showInputMessage="1" showErrorMessage="1" errorTitle="Erreur" error="La pièce ne rentre pas dans le format" sqref="J9:J10 I10">
      <formula1>T9&lt;E9</formula1>
    </dataValidation>
    <dataValidation type="custom" allowBlank="1" showInputMessage="1" showErrorMessage="1" errorTitle="Erreur" error="Le format est trop petit" sqref="E9">
      <formula1>R9&lt;E9</formula1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a longueur interieure doit etre inferieure à la longueur exterieure " sqref="K9:K10">
      <formula1>I9&gt;K9</formula1>
    </dataValidation>
    <dataValidation type="custom" allowBlank="1" showInputMessage="1" showErrorMessage="1" errorTitle="Erreur" error="La largeur interieure doit etre inferieure à la largeur exterieure " sqref="L9:L10">
      <formula1>J9&gt;L9</formula1>
    </dataValidation>
    <dataValidation type="custom" showInputMessage="1" showErrorMessage="1" errorTitle="Erreur" error="La pièce ne rentre pas dans le format_x000a_ou la valeur&gt;0_x000a_ou la largeur peut etre inferieur a la pice interieur" sqref="J8">
      <formula1>AND(U8&lt;F8,NOT(ISBLANK(J8)),J8&gt;0,J8&gt;L8)</formula1>
    </dataValidation>
    <dataValidation type="custom" allowBlank="1" showInputMessage="1" showErrorMessage="1" errorTitle="Erreur" error="La pièce ne rentre pas dans le format_x000a_ou la longueur doit etre &gt; a la piece interieure" sqref="I9">
      <formula1>AND(T9&lt;E9,NOT(ISBLANK(I8)),I8&gt;K8)</formula1>
    </dataValidation>
    <dataValidation type="custom" showInputMessage="1" showErrorMessage="1" errorTitle="Erreur" error="Le format est trop petit" sqref="E8">
      <formula1>AND(NOT(ISBLANK(F8)),T8&lt;E8)</formula1>
    </dataValidation>
  </dataValidations>
  <pageMargins left="0.70866141732283472" right="0.70866141732283472" top="0.74803149606299213" bottom="0.74803149606299213" header="0.31496062992125984" footer="0.31496062992125984"/>
  <pageSetup paperSize="9" scale="82" orientation="landscape" r:id="rId1"/>
  <headerFooter>
    <oddHeader>&amp;L&amp;G&amp;C&amp;"-,Gras"&amp;16&amp;UCalcul des Taux de Chutes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6" r:id="rId5" name="Button 14">
              <controlPr defaultSize="0" print="0" autoFill="0" autoPict="0" macro="[0]!Bouton12_Cliquer">
                <anchor moveWithCells="1" sizeWithCells="1">
                  <from>
                    <xdr:col>19</xdr:col>
                    <xdr:colOff>85725</xdr:colOff>
                    <xdr:row>15</xdr:row>
                    <xdr:rowOff>38100</xdr:rowOff>
                  </from>
                  <to>
                    <xdr:col>21</xdr:col>
                    <xdr:colOff>95250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Bouton13_Cliquer">
                <anchor moveWithCells="1" sizeWithCells="1">
                  <from>
                    <xdr:col>19</xdr:col>
                    <xdr:colOff>76200</xdr:colOff>
                    <xdr:row>18</xdr:row>
                    <xdr:rowOff>28575</xdr:rowOff>
                  </from>
                  <to>
                    <xdr:col>21</xdr:col>
                    <xdr:colOff>66675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AG30"/>
  <sheetViews>
    <sheetView view="pageBreakPreview" zoomScaleNormal="100" zoomScaleSheetLayoutView="100" workbookViewId="0">
      <selection activeCell="E2" sqref="E2"/>
    </sheetView>
  </sheetViews>
  <sheetFormatPr baseColWidth="10" defaultRowHeight="15" x14ac:dyDescent="0.25"/>
  <cols>
    <col min="1" max="1" width="20.140625" customWidth="1"/>
    <col min="3" max="3" width="30.42578125" customWidth="1"/>
    <col min="4" max="4" width="14.5703125" customWidth="1"/>
    <col min="13" max="33" width="11.42578125" hidden="1" customWidth="1"/>
  </cols>
  <sheetData>
    <row r="1" spans="1:33" ht="69.95" customHeight="1" thickBot="1" x14ac:dyDescent="0.3"/>
    <row r="2" spans="1:33" ht="21.75" thickBot="1" x14ac:dyDescent="0.4">
      <c r="A2" s="25" t="s">
        <v>43</v>
      </c>
      <c r="B2" s="148"/>
      <c r="C2" s="149"/>
      <c r="D2" s="3"/>
      <c r="E2" s="3"/>
      <c r="F2" s="3"/>
      <c r="G2" s="3"/>
      <c r="H2" s="56" t="s">
        <v>44</v>
      </c>
      <c r="I2" s="150"/>
      <c r="J2" s="150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ht="15.75" thickBo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>
        <v>1</v>
      </c>
      <c r="AF3" s="3"/>
      <c r="AG3" s="3" t="s">
        <v>35</v>
      </c>
    </row>
    <row r="4" spans="1:33" ht="27" thickBot="1" x14ac:dyDescent="0.45">
      <c r="A4" s="153" t="s">
        <v>15</v>
      </c>
      <c r="B4" s="154"/>
      <c r="C4" s="155"/>
      <c r="D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>
        <v>2</v>
      </c>
      <c r="AF4" s="3"/>
      <c r="AG4" s="3">
        <v>5</v>
      </c>
    </row>
    <row r="5" spans="1:33" ht="21.75" thickBot="1" x14ac:dyDescent="0.4">
      <c r="A5" s="25" t="s">
        <v>13</v>
      </c>
      <c r="B5" s="26" t="s">
        <v>0</v>
      </c>
      <c r="C5" s="42" t="s">
        <v>42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1:33" ht="19.5" thickBot="1" x14ac:dyDescent="0.35">
      <c r="A6" s="102">
        <f>1-(Q8/V8)</f>
        <v>0.56933909701175167</v>
      </c>
      <c r="B6" s="106">
        <f>1-(Q8/W10)</f>
        <v>0.93812838360402162</v>
      </c>
      <c r="C6" s="63" t="s">
        <v>36</v>
      </c>
      <c r="D6" s="98" t="s">
        <v>39</v>
      </c>
      <c r="E6" s="84" t="s">
        <v>28</v>
      </c>
      <c r="F6" s="85"/>
      <c r="G6" s="85"/>
      <c r="H6" s="86"/>
      <c r="I6" s="91" t="s">
        <v>22</v>
      </c>
      <c r="J6" s="92"/>
      <c r="K6" s="3"/>
      <c r="L6" s="3"/>
      <c r="M6" s="84" t="s">
        <v>19</v>
      </c>
      <c r="N6" s="85"/>
      <c r="O6" s="85"/>
      <c r="P6" s="86"/>
      <c r="Q6" s="84" t="s">
        <v>23</v>
      </c>
      <c r="R6" s="85"/>
      <c r="S6" s="86"/>
      <c r="T6" s="91" t="s">
        <v>1</v>
      </c>
      <c r="U6" s="92"/>
      <c r="V6" s="93"/>
      <c r="W6" s="91" t="s">
        <v>29</v>
      </c>
      <c r="X6" s="92"/>
      <c r="Y6" s="93"/>
      <c r="Z6" s="3"/>
      <c r="AA6" s="3"/>
      <c r="AB6" s="3"/>
      <c r="AC6" s="3"/>
      <c r="AD6" s="3"/>
      <c r="AE6" s="3"/>
      <c r="AF6" s="3"/>
      <c r="AG6" s="3"/>
    </row>
    <row r="7" spans="1:33" ht="15.75" thickBot="1" x14ac:dyDescent="0.3">
      <c r="A7" s="103"/>
      <c r="B7" s="122"/>
      <c r="C7" s="151">
        <v>1</v>
      </c>
      <c r="D7" s="161"/>
      <c r="E7" s="62" t="s">
        <v>2</v>
      </c>
      <c r="F7" s="61" t="s">
        <v>3</v>
      </c>
      <c r="G7" s="82" t="s">
        <v>18</v>
      </c>
      <c r="H7" s="83"/>
      <c r="I7" s="162" t="s">
        <v>25</v>
      </c>
      <c r="J7" s="163"/>
      <c r="K7" s="3"/>
      <c r="L7" s="3"/>
      <c r="M7" s="52" t="s">
        <v>26</v>
      </c>
      <c r="N7" s="53"/>
      <c r="O7" s="54" t="s">
        <v>27</v>
      </c>
      <c r="P7" s="55"/>
      <c r="Q7" s="127" t="s">
        <v>8</v>
      </c>
      <c r="R7" s="128"/>
      <c r="S7" s="83"/>
      <c r="T7" s="8" t="s">
        <v>2</v>
      </c>
      <c r="U7" s="6" t="s">
        <v>3</v>
      </c>
      <c r="V7" s="9" t="s">
        <v>5</v>
      </c>
      <c r="W7" s="8" t="s">
        <v>2</v>
      </c>
      <c r="X7" s="6" t="s">
        <v>3</v>
      </c>
      <c r="Y7" s="9" t="s">
        <v>5</v>
      </c>
      <c r="Z7" s="3"/>
      <c r="AA7" s="3"/>
      <c r="AB7" s="3"/>
      <c r="AC7" s="3"/>
      <c r="AD7" s="3"/>
      <c r="AE7" s="3"/>
      <c r="AF7" s="3"/>
      <c r="AG7" s="3"/>
    </row>
    <row r="8" spans="1:33" ht="16.5" thickBot="1" x14ac:dyDescent="0.3">
      <c r="A8" s="104"/>
      <c r="B8" s="123"/>
      <c r="C8" s="152"/>
      <c r="D8" s="72">
        <v>1</v>
      </c>
      <c r="E8" s="72">
        <v>6000</v>
      </c>
      <c r="F8" s="72">
        <v>3000</v>
      </c>
      <c r="G8" s="58">
        <f>H8/F8</f>
        <v>0.85633333333333328</v>
      </c>
      <c r="H8" s="10">
        <f>F8-U8</f>
        <v>2569</v>
      </c>
      <c r="I8" s="164">
        <v>400</v>
      </c>
      <c r="J8" s="165"/>
      <c r="K8" s="3"/>
      <c r="L8" s="3"/>
      <c r="M8" s="87">
        <v>6</v>
      </c>
      <c r="N8" s="88"/>
      <c r="O8" s="89">
        <v>6</v>
      </c>
      <c r="P8" s="90"/>
      <c r="Q8" s="124">
        <f>(I8*I8)/2/1000000*D8</f>
        <v>0.08</v>
      </c>
      <c r="R8" s="125"/>
      <c r="S8" s="126"/>
      <c r="T8" s="11">
        <f>I8+O8+(D8-1)*(2*AG4)+5*AG4</f>
        <v>431</v>
      </c>
      <c r="U8" s="12">
        <f>I8+M8+5*AG4-IF(1-(I8/F8)&lt;0.15,2*$AG$4,0)</f>
        <v>431</v>
      </c>
      <c r="V8" s="13">
        <f>(T8*U8)/1000000</f>
        <v>0.18576100000000001</v>
      </c>
      <c r="W8" s="11">
        <f>T8</f>
        <v>431</v>
      </c>
      <c r="X8" s="12">
        <f>F8</f>
        <v>3000</v>
      </c>
      <c r="Y8" s="13">
        <f>(W8*X8)/1000000</f>
        <v>1.2929999999999999</v>
      </c>
      <c r="Z8" s="4"/>
      <c r="AA8" s="3"/>
      <c r="AB8" s="3"/>
      <c r="AC8" s="3"/>
      <c r="AD8" s="3"/>
      <c r="AE8" s="3"/>
      <c r="AF8" s="3"/>
      <c r="AG8" s="3"/>
    </row>
    <row r="9" spans="1:33" ht="15.75" thickBot="1" x14ac:dyDescent="0.3">
      <c r="A9" s="3"/>
      <c r="B9" s="3"/>
      <c r="C9" s="3"/>
      <c r="D9" s="3"/>
      <c r="E9" s="157" t="s">
        <v>38</v>
      </c>
      <c r="F9" s="158"/>
      <c r="G9" s="76"/>
      <c r="H9" s="77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74" t="s">
        <v>37</v>
      </c>
      <c r="U9" s="74"/>
      <c r="V9" s="74"/>
      <c r="W9" s="74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1:33" ht="15.75" thickBot="1" x14ac:dyDescent="0.3">
      <c r="A10" s="3"/>
      <c r="B10" s="3"/>
      <c r="C10" s="3"/>
      <c r="D10" s="3"/>
      <c r="E10" s="78">
        <f>C7*H8</f>
        <v>2569</v>
      </c>
      <c r="F10" s="79"/>
      <c r="G10" s="79"/>
      <c r="H10" s="80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9">
        <f>T8</f>
        <v>431</v>
      </c>
      <c r="U10" s="39">
        <f>(F8-U8)*C7</f>
        <v>2569</v>
      </c>
      <c r="V10" s="40">
        <f>(T10*U10)/1000000</f>
        <v>1.1072390000000001</v>
      </c>
      <c r="W10" s="50">
        <f>V8+V10*C7</f>
        <v>1.2930000000000001</v>
      </c>
      <c r="X10" s="68">
        <f>F8-U8</f>
        <v>2569</v>
      </c>
      <c r="Y10" s="3"/>
      <c r="Z10" s="3"/>
      <c r="AA10" s="3"/>
      <c r="AB10" s="3"/>
      <c r="AC10" s="3"/>
      <c r="AD10" s="3"/>
      <c r="AE10" s="3"/>
      <c r="AF10" s="3"/>
      <c r="AG10" s="3"/>
    </row>
    <row r="13" spans="1:33" ht="15.75" thickBot="1" x14ac:dyDescent="0.3"/>
    <row r="14" spans="1:33" ht="23.25" x14ac:dyDescent="0.35">
      <c r="A14" s="137" t="s">
        <v>45</v>
      </c>
      <c r="B14" s="138"/>
      <c r="C14" s="138"/>
      <c r="D14" s="138"/>
      <c r="E14" s="138"/>
      <c r="F14" s="138" t="s">
        <v>46</v>
      </c>
      <c r="G14" s="138"/>
      <c r="H14" s="138"/>
      <c r="I14" s="138"/>
      <c r="J14" s="138"/>
      <c r="K14" s="138"/>
      <c r="L14" s="139"/>
    </row>
    <row r="15" spans="1:33" x14ac:dyDescent="0.25">
      <c r="A15" s="140"/>
      <c r="B15" s="141"/>
      <c r="C15" s="141"/>
      <c r="D15" s="141"/>
      <c r="E15" s="141"/>
      <c r="F15" s="144"/>
      <c r="G15" s="144"/>
      <c r="H15" s="144"/>
      <c r="I15" s="144"/>
      <c r="J15" s="144"/>
      <c r="K15" s="144"/>
      <c r="L15" s="145"/>
    </row>
    <row r="16" spans="1:33" x14ac:dyDescent="0.25">
      <c r="A16" s="140"/>
      <c r="B16" s="141"/>
      <c r="C16" s="141"/>
      <c r="D16" s="141"/>
      <c r="E16" s="141"/>
      <c r="F16" s="144"/>
      <c r="G16" s="144"/>
      <c r="H16" s="144"/>
      <c r="I16" s="144"/>
      <c r="J16" s="144"/>
      <c r="K16" s="144"/>
      <c r="L16" s="145"/>
    </row>
    <row r="17" spans="1:12" x14ac:dyDescent="0.25">
      <c r="A17" s="140"/>
      <c r="B17" s="141"/>
      <c r="C17" s="141"/>
      <c r="D17" s="141"/>
      <c r="E17" s="141"/>
      <c r="F17" s="144"/>
      <c r="G17" s="144"/>
      <c r="H17" s="144"/>
      <c r="I17" s="144"/>
      <c r="J17" s="144"/>
      <c r="K17" s="144"/>
      <c r="L17" s="145"/>
    </row>
    <row r="18" spans="1:12" x14ac:dyDescent="0.25">
      <c r="A18" s="140"/>
      <c r="B18" s="141"/>
      <c r="C18" s="141"/>
      <c r="D18" s="141"/>
      <c r="E18" s="141"/>
      <c r="F18" s="144"/>
      <c r="G18" s="144"/>
      <c r="H18" s="144"/>
      <c r="I18" s="144"/>
      <c r="J18" s="144"/>
      <c r="K18" s="144"/>
      <c r="L18" s="145"/>
    </row>
    <row r="19" spans="1:12" x14ac:dyDescent="0.25">
      <c r="A19" s="140"/>
      <c r="B19" s="141"/>
      <c r="C19" s="141"/>
      <c r="D19" s="141"/>
      <c r="E19" s="141"/>
      <c r="F19" s="144"/>
      <c r="G19" s="144"/>
      <c r="H19" s="144"/>
      <c r="I19" s="144"/>
      <c r="J19" s="144"/>
      <c r="K19" s="144"/>
      <c r="L19" s="145"/>
    </row>
    <row r="20" spans="1:12" x14ac:dyDescent="0.25">
      <c r="A20" s="140"/>
      <c r="B20" s="141"/>
      <c r="C20" s="141"/>
      <c r="D20" s="141"/>
      <c r="E20" s="141"/>
      <c r="F20" s="144"/>
      <c r="G20" s="144"/>
      <c r="H20" s="144"/>
      <c r="I20" s="144"/>
      <c r="J20" s="144"/>
      <c r="K20" s="144"/>
      <c r="L20" s="145"/>
    </row>
    <row r="21" spans="1:12" x14ac:dyDescent="0.25">
      <c r="A21" s="140"/>
      <c r="B21" s="141"/>
      <c r="C21" s="141"/>
      <c r="D21" s="141"/>
      <c r="E21" s="141"/>
      <c r="F21" s="144"/>
      <c r="G21" s="144"/>
      <c r="H21" s="144"/>
      <c r="I21" s="144"/>
      <c r="J21" s="144"/>
      <c r="K21" s="144"/>
      <c r="L21" s="145"/>
    </row>
    <row r="22" spans="1:12" x14ac:dyDescent="0.25">
      <c r="A22" s="140"/>
      <c r="B22" s="141"/>
      <c r="C22" s="141"/>
      <c r="D22" s="141"/>
      <c r="E22" s="141"/>
      <c r="F22" s="144"/>
      <c r="G22" s="144"/>
      <c r="H22" s="144"/>
      <c r="I22" s="144"/>
      <c r="J22" s="144"/>
      <c r="K22" s="144"/>
      <c r="L22" s="145"/>
    </row>
    <row r="23" spans="1:12" x14ac:dyDescent="0.25">
      <c r="A23" s="140"/>
      <c r="B23" s="141"/>
      <c r="C23" s="141"/>
      <c r="D23" s="141"/>
      <c r="E23" s="141"/>
      <c r="F23" s="144"/>
      <c r="G23" s="144"/>
      <c r="H23" s="144"/>
      <c r="I23" s="144"/>
      <c r="J23" s="144"/>
      <c r="K23" s="144"/>
      <c r="L23" s="145"/>
    </row>
    <row r="24" spans="1:12" x14ac:dyDescent="0.25">
      <c r="A24" s="140"/>
      <c r="B24" s="141"/>
      <c r="C24" s="141"/>
      <c r="D24" s="141"/>
      <c r="E24" s="141"/>
      <c r="F24" s="144"/>
      <c r="G24" s="144"/>
      <c r="H24" s="144"/>
      <c r="I24" s="144"/>
      <c r="J24" s="144"/>
      <c r="K24" s="144"/>
      <c r="L24" s="145"/>
    </row>
    <row r="25" spans="1:12" x14ac:dyDescent="0.25">
      <c r="A25" s="140"/>
      <c r="B25" s="141"/>
      <c r="C25" s="141"/>
      <c r="D25" s="141"/>
      <c r="E25" s="141"/>
      <c r="F25" s="144"/>
      <c r="G25" s="144"/>
      <c r="H25" s="144"/>
      <c r="I25" s="144"/>
      <c r="J25" s="144"/>
      <c r="K25" s="144"/>
      <c r="L25" s="145"/>
    </row>
    <row r="26" spans="1:12" x14ac:dyDescent="0.25">
      <c r="A26" s="140"/>
      <c r="B26" s="141"/>
      <c r="C26" s="141"/>
      <c r="D26" s="141"/>
      <c r="E26" s="141"/>
      <c r="F26" s="144"/>
      <c r="G26" s="144"/>
      <c r="H26" s="144"/>
      <c r="I26" s="144"/>
      <c r="J26" s="144"/>
      <c r="K26" s="144"/>
      <c r="L26" s="145"/>
    </row>
    <row r="27" spans="1:12" x14ac:dyDescent="0.25">
      <c r="A27" s="140"/>
      <c r="B27" s="141"/>
      <c r="C27" s="141"/>
      <c r="D27" s="141"/>
      <c r="E27" s="141"/>
      <c r="F27" s="144"/>
      <c r="G27" s="144"/>
      <c r="H27" s="144"/>
      <c r="I27" s="144"/>
      <c r="J27" s="144"/>
      <c r="K27" s="144"/>
      <c r="L27" s="145"/>
    </row>
    <row r="28" spans="1:12" x14ac:dyDescent="0.25">
      <c r="A28" s="140"/>
      <c r="B28" s="141"/>
      <c r="C28" s="141"/>
      <c r="D28" s="141"/>
      <c r="E28" s="141"/>
      <c r="F28" s="144"/>
      <c r="G28" s="144"/>
      <c r="H28" s="144"/>
      <c r="I28" s="144"/>
      <c r="J28" s="144"/>
      <c r="K28" s="144"/>
      <c r="L28" s="145"/>
    </row>
    <row r="29" spans="1:12" x14ac:dyDescent="0.25">
      <c r="A29" s="140"/>
      <c r="B29" s="141"/>
      <c r="C29" s="141"/>
      <c r="D29" s="141"/>
      <c r="E29" s="141"/>
      <c r="F29" s="144"/>
      <c r="G29" s="144"/>
      <c r="H29" s="144"/>
      <c r="I29" s="144"/>
      <c r="J29" s="144"/>
      <c r="K29" s="144"/>
      <c r="L29" s="145"/>
    </row>
    <row r="30" spans="1:12" ht="15.75" thickBot="1" x14ac:dyDescent="0.3">
      <c r="A30" s="142"/>
      <c r="B30" s="143"/>
      <c r="C30" s="143"/>
      <c r="D30" s="143"/>
      <c r="E30" s="143"/>
      <c r="F30" s="146"/>
      <c r="G30" s="146"/>
      <c r="H30" s="146"/>
      <c r="I30" s="146"/>
      <c r="J30" s="146"/>
      <c r="K30" s="146"/>
      <c r="L30" s="147"/>
    </row>
  </sheetData>
  <sheetProtection sheet="1" scenarios="1"/>
  <mergeCells count="27">
    <mergeCell ref="T9:W9"/>
    <mergeCell ref="E10:H10"/>
    <mergeCell ref="B2:C2"/>
    <mergeCell ref="Q6:S6"/>
    <mergeCell ref="T6:V6"/>
    <mergeCell ref="W6:Y6"/>
    <mergeCell ref="C7:C8"/>
    <mergeCell ref="G7:H7"/>
    <mergeCell ref="I7:J7"/>
    <mergeCell ref="Q7:S7"/>
    <mergeCell ref="I8:J8"/>
    <mergeCell ref="M8:N8"/>
    <mergeCell ref="O8:P8"/>
    <mergeCell ref="M6:P6"/>
    <mergeCell ref="A4:C4"/>
    <mergeCell ref="I2:J2"/>
    <mergeCell ref="A14:E14"/>
    <mergeCell ref="F14:L14"/>
    <mergeCell ref="A15:E30"/>
    <mergeCell ref="F15:L30"/>
    <mergeCell ref="Q8:S8"/>
    <mergeCell ref="E9:H9"/>
    <mergeCell ref="A6:A8"/>
    <mergeCell ref="B6:B8"/>
    <mergeCell ref="D6:D7"/>
    <mergeCell ref="E6:H6"/>
    <mergeCell ref="I6:J6"/>
  </mergeCells>
  <dataValidations count="8">
    <dataValidation type="custom" showInputMessage="1" showErrorMessage="1" errorTitle="Erreur" error="La piece ne rentre pas dans le format_x000a_et doit etre &gt;0" sqref="I8:J8">
      <formula1>AND(T8&lt;E8,U8&lt;F8,I8&gt;0,NOT(ISBLANK(I8)))</formula1>
    </dataValidation>
    <dataValidation type="decimal" allowBlank="1" showInputMessage="1" showErrorMessage="1" errorTitle="Erreur" error="Doit etre entre 0% et 100%" sqref="C7:C8">
      <formula1>0</formula1>
      <formula2>1</formula2>
    </dataValidation>
    <dataValidation allowBlank="1" showInputMessage="1" showErrorMessage="1" errorTitle="Erreur" error="Le format est trop petit" sqref="E10"/>
    <dataValidation type="custom" allowBlank="1" showInputMessage="1" showErrorMessage="1" errorTitle="Erreur" error="L'ecart gauche ne peut etre négatif" sqref="O8">
      <formula1>O8&gt;0</formula1>
    </dataValidation>
    <dataValidation type="custom" allowBlank="1" showInputMessage="1" showErrorMessage="1" errorTitle="Erreur" error="L'ecart bas ne peut etre négatif" sqref="M8">
      <formula1>M8&gt;=0</formula1>
    </dataValidation>
    <dataValidation type="custom" allowBlank="1" showInputMessage="1" showErrorMessage="1" errorTitle="Erreur" error="Le format est trop petit" sqref="E9">
      <formula1>T9&lt;E9</formula1>
    </dataValidation>
    <dataValidation type="list" showInputMessage="1" showErrorMessage="1" errorTitle="Erreur" error="Doit etre 1 ou 2" promptTitle="Nombre de triangle rectangle" sqref="D8">
      <formula1>$AE$3:$AE$4</formula1>
    </dataValidation>
    <dataValidation type="custom" showInputMessage="1" showErrorMessage="1" errorTitle="Erreur" error="Le format est trop petit" sqref="E8 F8">
      <formula1>AND(NOT(ISBLANK(E8)),T8&lt;E8)</formula1>
    </dataValidation>
  </dataValidations>
  <pageMargins left="0.70866141732283472" right="0.70866141732283472" top="0.74803149606299213" bottom="0.74803149606299213" header="0.31496062992125984" footer="0.31496062992125984"/>
  <pageSetup paperSize="9" scale="76" orientation="landscape" r:id="rId1"/>
  <headerFooter>
    <oddHeader>&amp;L&amp;G&amp;C&amp;"-,Gras"&amp;16&amp;UCalcul des Taux de Chutes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4" r:id="rId5" name="Button 18">
              <controlPr defaultSize="0" print="0" autoFill="0" autoPict="0" macro="[0]!DrawSquareTriangleRepresentation">
                <anchor moveWithCells="1" sizeWithCells="1">
                  <from>
                    <xdr:col>12</xdr:col>
                    <xdr:colOff>657225</xdr:colOff>
                    <xdr:row>11</xdr:row>
                    <xdr:rowOff>171450</xdr:rowOff>
                  </from>
                  <to>
                    <xdr:col>15</xdr:col>
                    <xdr:colOff>523875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G30"/>
  <sheetViews>
    <sheetView view="pageBreakPreview" zoomScaleNormal="100" zoomScaleSheetLayoutView="100" workbookViewId="0">
      <selection activeCell="D8" sqref="D8"/>
    </sheetView>
  </sheetViews>
  <sheetFormatPr baseColWidth="10" defaultRowHeight="15" x14ac:dyDescent="0.25"/>
  <cols>
    <col min="1" max="1" width="18.42578125" bestFit="1" customWidth="1"/>
    <col min="3" max="3" width="28.42578125" bestFit="1" customWidth="1"/>
    <col min="13" max="33" width="11.42578125" hidden="1" customWidth="1"/>
  </cols>
  <sheetData>
    <row r="1" spans="1:33" ht="69.95" customHeight="1" thickBot="1" x14ac:dyDescent="0.3"/>
    <row r="2" spans="1:33" ht="21.75" thickBot="1" x14ac:dyDescent="0.4">
      <c r="A2" s="25" t="s">
        <v>43</v>
      </c>
      <c r="B2" s="148"/>
      <c r="C2" s="149"/>
      <c r="D2" s="3"/>
      <c r="E2" s="3"/>
      <c r="F2" s="3"/>
      <c r="G2" s="3"/>
      <c r="H2" s="56" t="s">
        <v>44</v>
      </c>
      <c r="I2" s="150"/>
      <c r="J2" s="150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ht="15.75" thickBo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>
        <v>1</v>
      </c>
      <c r="AF3" s="3"/>
      <c r="AG3" s="3" t="s">
        <v>35</v>
      </c>
    </row>
    <row r="4" spans="1:33" ht="27" thickBot="1" x14ac:dyDescent="0.45">
      <c r="A4" s="153" t="s">
        <v>15</v>
      </c>
      <c r="B4" s="154"/>
      <c r="C4" s="155"/>
      <c r="D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>
        <v>2</v>
      </c>
      <c r="AF4" s="3"/>
      <c r="AG4" s="3">
        <v>5</v>
      </c>
    </row>
    <row r="5" spans="1:33" ht="21.75" thickBot="1" x14ac:dyDescent="0.4">
      <c r="A5" s="25" t="s">
        <v>13</v>
      </c>
      <c r="B5" s="26" t="s">
        <v>0</v>
      </c>
      <c r="C5" s="42" t="s">
        <v>42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1:33" ht="19.5" thickBot="1" x14ac:dyDescent="0.35">
      <c r="A6" s="102">
        <f>1-(Q8/V8)</f>
        <v>0.55876026342012275</v>
      </c>
      <c r="B6" s="106">
        <f>1-(Q8/W10)</f>
        <v>0.90719257540603249</v>
      </c>
      <c r="C6" s="63" t="s">
        <v>36</v>
      </c>
      <c r="D6" s="98" t="s">
        <v>40</v>
      </c>
      <c r="E6" s="84" t="s">
        <v>28</v>
      </c>
      <c r="F6" s="85"/>
      <c r="G6" s="85"/>
      <c r="H6" s="86"/>
      <c r="I6" s="91" t="s">
        <v>22</v>
      </c>
      <c r="J6" s="92"/>
      <c r="K6" s="3"/>
      <c r="L6" s="3"/>
      <c r="M6" s="91" t="s">
        <v>19</v>
      </c>
      <c r="N6" s="92"/>
      <c r="O6" s="92"/>
      <c r="P6" s="93"/>
      <c r="Q6" s="84" t="s">
        <v>23</v>
      </c>
      <c r="R6" s="85"/>
      <c r="S6" s="86"/>
      <c r="T6" s="91" t="s">
        <v>1</v>
      </c>
      <c r="U6" s="92"/>
      <c r="V6" s="93"/>
      <c r="W6" s="91" t="s">
        <v>1</v>
      </c>
      <c r="X6" s="92"/>
      <c r="Y6" s="93"/>
      <c r="Z6" s="3"/>
      <c r="AA6" s="3"/>
      <c r="AB6" s="3"/>
      <c r="AC6" s="3"/>
      <c r="AD6" s="3"/>
      <c r="AE6" s="3"/>
      <c r="AF6" s="3"/>
      <c r="AG6" s="3"/>
    </row>
    <row r="7" spans="1:33" ht="15.75" thickBot="1" x14ac:dyDescent="0.3">
      <c r="A7" s="103"/>
      <c r="B7" s="122"/>
      <c r="C7" s="151">
        <v>1</v>
      </c>
      <c r="D7" s="161"/>
      <c r="E7" s="62" t="s">
        <v>2</v>
      </c>
      <c r="F7" s="61" t="s">
        <v>3</v>
      </c>
      <c r="G7" s="129" t="s">
        <v>18</v>
      </c>
      <c r="H7" s="83"/>
      <c r="I7" s="60" t="s">
        <v>11</v>
      </c>
      <c r="J7" s="59" t="s">
        <v>12</v>
      </c>
      <c r="K7" s="3"/>
      <c r="L7" s="3"/>
      <c r="M7" s="100" t="s">
        <v>26</v>
      </c>
      <c r="N7" s="101"/>
      <c r="O7" s="129" t="s">
        <v>27</v>
      </c>
      <c r="P7" s="105"/>
      <c r="Q7" s="100" t="s">
        <v>8</v>
      </c>
      <c r="R7" s="128"/>
      <c r="S7" s="83"/>
      <c r="T7" s="8" t="s">
        <v>2</v>
      </c>
      <c r="U7" s="6" t="s">
        <v>3</v>
      </c>
      <c r="V7" s="9" t="s">
        <v>5</v>
      </c>
      <c r="W7" s="8" t="s">
        <v>2</v>
      </c>
      <c r="X7" s="6" t="s">
        <v>3</v>
      </c>
      <c r="Y7" s="9" t="s">
        <v>5</v>
      </c>
      <c r="Z7" s="3"/>
      <c r="AA7" s="3" t="s">
        <v>13</v>
      </c>
      <c r="AB7" s="3"/>
      <c r="AC7" s="3"/>
      <c r="AD7" s="3"/>
      <c r="AE7" s="3"/>
      <c r="AF7" s="3"/>
      <c r="AG7" s="3"/>
    </row>
    <row r="8" spans="1:33" ht="16.5" thickBot="1" x14ac:dyDescent="0.3">
      <c r="A8" s="104"/>
      <c r="B8" s="123"/>
      <c r="C8" s="152"/>
      <c r="D8" s="73">
        <v>1</v>
      </c>
      <c r="E8" s="73">
        <v>6000</v>
      </c>
      <c r="F8" s="73">
        <v>3000</v>
      </c>
      <c r="G8" s="58">
        <f>H8/F8</f>
        <v>0.78966666666666663</v>
      </c>
      <c r="H8" s="10">
        <f>F8-U8</f>
        <v>2369</v>
      </c>
      <c r="I8" s="73">
        <v>400</v>
      </c>
      <c r="J8" s="73">
        <v>600</v>
      </c>
      <c r="K8" s="3"/>
      <c r="L8" s="3"/>
      <c r="M8" s="87">
        <v>6</v>
      </c>
      <c r="N8" s="88"/>
      <c r="O8" s="89">
        <v>6</v>
      </c>
      <c r="P8" s="90"/>
      <c r="Q8" s="124">
        <f>((I8*J8)/2/1000000)*D8</f>
        <v>0.12</v>
      </c>
      <c r="R8" s="125"/>
      <c r="S8" s="126"/>
      <c r="T8" s="11">
        <f>I8+O8+(D8-1)*(2*AG4+I8/2)+5*AG4</f>
        <v>431</v>
      </c>
      <c r="U8" s="12">
        <f>J8+M8+5*AG4-IF(1-(J8/F8)&lt;0.15,2*$AG$4,0)</f>
        <v>631</v>
      </c>
      <c r="V8" s="13">
        <f>(T8*U8)/1000000</f>
        <v>0.27196100000000001</v>
      </c>
      <c r="W8" s="11">
        <f>T8</f>
        <v>431</v>
      </c>
      <c r="X8" s="12">
        <f>F8</f>
        <v>3000</v>
      </c>
      <c r="Y8" s="13">
        <f>(W8*X8)/1000000</f>
        <v>1.2929999999999999</v>
      </c>
      <c r="Z8" s="4"/>
      <c r="AA8" s="4">
        <f>1-(Q8/V8)</f>
        <v>0.55876026342012275</v>
      </c>
      <c r="AB8" s="4">
        <f>1-(Q8/Y8)</f>
        <v>0.90719257540603249</v>
      </c>
      <c r="AC8" s="3"/>
      <c r="AD8" s="3"/>
      <c r="AE8" s="3"/>
      <c r="AF8" s="3"/>
      <c r="AG8" s="3"/>
    </row>
    <row r="9" spans="1:33" ht="15.75" thickBot="1" x14ac:dyDescent="0.3">
      <c r="A9" s="3"/>
      <c r="B9" s="3"/>
      <c r="C9" s="3"/>
      <c r="D9" s="3"/>
      <c r="E9" s="157" t="s">
        <v>38</v>
      </c>
      <c r="F9" s="158"/>
      <c r="G9" s="76"/>
      <c r="H9" s="77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74" t="s">
        <v>37</v>
      </c>
      <c r="U9" s="74"/>
      <c r="V9" s="74"/>
      <c r="W9" s="74"/>
      <c r="X9" s="3"/>
      <c r="Y9" s="3"/>
      <c r="Z9" s="3"/>
      <c r="AA9" s="4"/>
      <c r="AB9" s="4"/>
      <c r="AC9" s="3"/>
      <c r="AD9" s="3"/>
      <c r="AE9" s="3"/>
      <c r="AF9" s="3"/>
      <c r="AG9" s="3"/>
    </row>
    <row r="10" spans="1:33" ht="15.75" thickBot="1" x14ac:dyDescent="0.3">
      <c r="A10" s="3"/>
      <c r="B10" s="3"/>
      <c r="C10" s="3"/>
      <c r="D10" s="3"/>
      <c r="E10" s="78">
        <f>C7*H8</f>
        <v>2369</v>
      </c>
      <c r="F10" s="79"/>
      <c r="G10" s="79"/>
      <c r="H10" s="80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9">
        <f>T8</f>
        <v>431</v>
      </c>
      <c r="U10" s="39">
        <f>(F8-U8)*C7</f>
        <v>2369</v>
      </c>
      <c r="V10" s="40">
        <f>(T10*U10)/1000000</f>
        <v>1.021039</v>
      </c>
      <c r="W10" s="50">
        <f>V8+V10*C7</f>
        <v>1.2930000000000001</v>
      </c>
      <c r="X10" s="68">
        <f>F8-U8</f>
        <v>2369</v>
      </c>
      <c r="Y10" s="3"/>
      <c r="Z10" s="3"/>
      <c r="AA10" s="3"/>
      <c r="AB10" s="3"/>
      <c r="AC10" s="3"/>
      <c r="AD10" s="3"/>
      <c r="AE10" s="3"/>
      <c r="AF10" s="3"/>
      <c r="AG10" s="3"/>
    </row>
    <row r="13" spans="1:33" ht="15.75" thickBot="1" x14ac:dyDescent="0.3"/>
    <row r="14" spans="1:33" ht="23.25" x14ac:dyDescent="0.35">
      <c r="A14" s="137" t="s">
        <v>45</v>
      </c>
      <c r="B14" s="138"/>
      <c r="C14" s="138"/>
      <c r="D14" s="138"/>
      <c r="E14" s="138"/>
      <c r="F14" s="138" t="s">
        <v>46</v>
      </c>
      <c r="G14" s="138"/>
      <c r="H14" s="138"/>
      <c r="I14" s="138"/>
      <c r="J14" s="138"/>
      <c r="K14" s="138"/>
      <c r="L14" s="139"/>
    </row>
    <row r="15" spans="1:33" x14ac:dyDescent="0.25">
      <c r="A15" s="140"/>
      <c r="B15" s="141"/>
      <c r="C15" s="141"/>
      <c r="D15" s="141"/>
      <c r="E15" s="141"/>
      <c r="F15" s="144"/>
      <c r="G15" s="144"/>
      <c r="H15" s="144"/>
      <c r="I15" s="144"/>
      <c r="J15" s="144"/>
      <c r="K15" s="144"/>
      <c r="L15" s="145"/>
    </row>
    <row r="16" spans="1:33" x14ac:dyDescent="0.25">
      <c r="A16" s="140"/>
      <c r="B16" s="141"/>
      <c r="C16" s="141"/>
      <c r="D16" s="141"/>
      <c r="E16" s="141"/>
      <c r="F16" s="144"/>
      <c r="G16" s="144"/>
      <c r="H16" s="144"/>
      <c r="I16" s="144"/>
      <c r="J16" s="144"/>
      <c r="K16" s="144"/>
      <c r="L16" s="145"/>
    </row>
    <row r="17" spans="1:12" x14ac:dyDescent="0.25">
      <c r="A17" s="140"/>
      <c r="B17" s="141"/>
      <c r="C17" s="141"/>
      <c r="D17" s="141"/>
      <c r="E17" s="141"/>
      <c r="F17" s="144"/>
      <c r="G17" s="144"/>
      <c r="H17" s="144"/>
      <c r="I17" s="144"/>
      <c r="J17" s="144"/>
      <c r="K17" s="144"/>
      <c r="L17" s="145"/>
    </row>
    <row r="18" spans="1:12" x14ac:dyDescent="0.25">
      <c r="A18" s="140"/>
      <c r="B18" s="141"/>
      <c r="C18" s="141"/>
      <c r="D18" s="141"/>
      <c r="E18" s="141"/>
      <c r="F18" s="144"/>
      <c r="G18" s="144"/>
      <c r="H18" s="144"/>
      <c r="I18" s="144"/>
      <c r="J18" s="144"/>
      <c r="K18" s="144"/>
      <c r="L18" s="145"/>
    </row>
    <row r="19" spans="1:12" x14ac:dyDescent="0.25">
      <c r="A19" s="140"/>
      <c r="B19" s="141"/>
      <c r="C19" s="141"/>
      <c r="D19" s="141"/>
      <c r="E19" s="141"/>
      <c r="F19" s="144"/>
      <c r="G19" s="144"/>
      <c r="H19" s="144"/>
      <c r="I19" s="144"/>
      <c r="J19" s="144"/>
      <c r="K19" s="144"/>
      <c r="L19" s="145"/>
    </row>
    <row r="20" spans="1:12" x14ac:dyDescent="0.25">
      <c r="A20" s="140"/>
      <c r="B20" s="141"/>
      <c r="C20" s="141"/>
      <c r="D20" s="141"/>
      <c r="E20" s="141"/>
      <c r="F20" s="144"/>
      <c r="G20" s="144"/>
      <c r="H20" s="144"/>
      <c r="I20" s="144"/>
      <c r="J20" s="144"/>
      <c r="K20" s="144"/>
      <c r="L20" s="145"/>
    </row>
    <row r="21" spans="1:12" x14ac:dyDescent="0.25">
      <c r="A21" s="140"/>
      <c r="B21" s="141"/>
      <c r="C21" s="141"/>
      <c r="D21" s="141"/>
      <c r="E21" s="141"/>
      <c r="F21" s="144"/>
      <c r="G21" s="144"/>
      <c r="H21" s="144"/>
      <c r="I21" s="144"/>
      <c r="J21" s="144"/>
      <c r="K21" s="144"/>
      <c r="L21" s="145"/>
    </row>
    <row r="22" spans="1:12" x14ac:dyDescent="0.25">
      <c r="A22" s="140"/>
      <c r="B22" s="141"/>
      <c r="C22" s="141"/>
      <c r="D22" s="141"/>
      <c r="E22" s="141"/>
      <c r="F22" s="144"/>
      <c r="G22" s="144"/>
      <c r="H22" s="144"/>
      <c r="I22" s="144"/>
      <c r="J22" s="144"/>
      <c r="K22" s="144"/>
      <c r="L22" s="145"/>
    </row>
    <row r="23" spans="1:12" x14ac:dyDescent="0.25">
      <c r="A23" s="140"/>
      <c r="B23" s="141"/>
      <c r="C23" s="141"/>
      <c r="D23" s="141"/>
      <c r="E23" s="141"/>
      <c r="F23" s="144"/>
      <c r="G23" s="144"/>
      <c r="H23" s="144"/>
      <c r="I23" s="144"/>
      <c r="J23" s="144"/>
      <c r="K23" s="144"/>
      <c r="L23" s="145"/>
    </row>
    <row r="24" spans="1:12" x14ac:dyDescent="0.25">
      <c r="A24" s="140"/>
      <c r="B24" s="141"/>
      <c r="C24" s="141"/>
      <c r="D24" s="141"/>
      <c r="E24" s="141"/>
      <c r="F24" s="144"/>
      <c r="G24" s="144"/>
      <c r="H24" s="144"/>
      <c r="I24" s="144"/>
      <c r="J24" s="144"/>
      <c r="K24" s="144"/>
      <c r="L24" s="145"/>
    </row>
    <row r="25" spans="1:12" x14ac:dyDescent="0.25">
      <c r="A25" s="140"/>
      <c r="B25" s="141"/>
      <c r="C25" s="141"/>
      <c r="D25" s="141"/>
      <c r="E25" s="141"/>
      <c r="F25" s="144"/>
      <c r="G25" s="144"/>
      <c r="H25" s="144"/>
      <c r="I25" s="144"/>
      <c r="J25" s="144"/>
      <c r="K25" s="144"/>
      <c r="L25" s="145"/>
    </row>
    <row r="26" spans="1:12" x14ac:dyDescent="0.25">
      <c r="A26" s="140"/>
      <c r="B26" s="141"/>
      <c r="C26" s="141"/>
      <c r="D26" s="141"/>
      <c r="E26" s="141"/>
      <c r="F26" s="144"/>
      <c r="G26" s="144"/>
      <c r="H26" s="144"/>
      <c r="I26" s="144"/>
      <c r="J26" s="144"/>
      <c r="K26" s="144"/>
      <c r="L26" s="145"/>
    </row>
    <row r="27" spans="1:12" x14ac:dyDescent="0.25">
      <c r="A27" s="140"/>
      <c r="B27" s="141"/>
      <c r="C27" s="141"/>
      <c r="D27" s="141"/>
      <c r="E27" s="141"/>
      <c r="F27" s="144"/>
      <c r="G27" s="144"/>
      <c r="H27" s="144"/>
      <c r="I27" s="144"/>
      <c r="J27" s="144"/>
      <c r="K27" s="144"/>
      <c r="L27" s="145"/>
    </row>
    <row r="28" spans="1:12" x14ac:dyDescent="0.25">
      <c r="A28" s="140"/>
      <c r="B28" s="141"/>
      <c r="C28" s="141"/>
      <c r="D28" s="141"/>
      <c r="E28" s="141"/>
      <c r="F28" s="144"/>
      <c r="G28" s="144"/>
      <c r="H28" s="144"/>
      <c r="I28" s="144"/>
      <c r="J28" s="144"/>
      <c r="K28" s="144"/>
      <c r="L28" s="145"/>
    </row>
    <row r="29" spans="1:12" x14ac:dyDescent="0.25">
      <c r="A29" s="140"/>
      <c r="B29" s="141"/>
      <c r="C29" s="141"/>
      <c r="D29" s="141"/>
      <c r="E29" s="141"/>
      <c r="F29" s="144"/>
      <c r="G29" s="144"/>
      <c r="H29" s="144"/>
      <c r="I29" s="144"/>
      <c r="J29" s="144"/>
      <c r="K29" s="144"/>
      <c r="L29" s="145"/>
    </row>
    <row r="30" spans="1:12" ht="15.75" thickBot="1" x14ac:dyDescent="0.3">
      <c r="A30" s="142"/>
      <c r="B30" s="143"/>
      <c r="C30" s="143"/>
      <c r="D30" s="143"/>
      <c r="E30" s="143"/>
      <c r="F30" s="146"/>
      <c r="G30" s="146"/>
      <c r="H30" s="146"/>
      <c r="I30" s="146"/>
      <c r="J30" s="146"/>
      <c r="K30" s="146"/>
      <c r="L30" s="147"/>
    </row>
  </sheetData>
  <sheetProtection sheet="1" scenarios="1"/>
  <mergeCells count="27">
    <mergeCell ref="A14:E14"/>
    <mergeCell ref="F14:L14"/>
    <mergeCell ref="F15:L30"/>
    <mergeCell ref="A15:E30"/>
    <mergeCell ref="A4:C4"/>
    <mergeCell ref="I2:J2"/>
    <mergeCell ref="A6:A8"/>
    <mergeCell ref="B6:B8"/>
    <mergeCell ref="D6:D7"/>
    <mergeCell ref="E6:H6"/>
    <mergeCell ref="I6:J6"/>
    <mergeCell ref="Q8:S8"/>
    <mergeCell ref="E9:H9"/>
    <mergeCell ref="T9:W9"/>
    <mergeCell ref="E10:H10"/>
    <mergeCell ref="B2:C2"/>
    <mergeCell ref="Q6:S6"/>
    <mergeCell ref="T6:V6"/>
    <mergeCell ref="W6:Y6"/>
    <mergeCell ref="C7:C8"/>
    <mergeCell ref="G7:H7"/>
    <mergeCell ref="M7:N7"/>
    <mergeCell ref="O7:P7"/>
    <mergeCell ref="Q7:S7"/>
    <mergeCell ref="M8:N8"/>
    <mergeCell ref="O8:P8"/>
    <mergeCell ref="M6:P6"/>
  </mergeCells>
  <dataValidations count="8">
    <dataValidation type="custom" showInputMessage="1" showErrorMessage="1" errorTitle="Erreur" error="La piece ne rentre pas dans le format_x000a_et doit etre &gt; 0" sqref="I8">
      <formula1>AND(T8&lt;E8,I8&gt;0,NOT(ISBLANK(I8)))</formula1>
    </dataValidation>
    <dataValidation type="custom" showInputMessage="1" showErrorMessage="1" errorTitle="Erreur" error="La piece ne rentre pas dans le format_x000a_et doit etre &gt;0" sqref="J8">
      <formula1>AND(U8&lt;F8,J8&gt;0,NOT(ISBLANK(J8)))</formula1>
    </dataValidation>
    <dataValidation type="decimal" allowBlank="1" showInputMessage="1" showErrorMessage="1" errorTitle="Erreur" error="Doit etre entre 0% et 100%" sqref="C7:C8">
      <formula1>0</formula1>
      <formula2>1</formula2>
    </dataValidation>
    <dataValidation allowBlank="1" showInputMessage="1" showErrorMessage="1" errorTitle="Erreur" error="Le format est trop petit" sqref="E10"/>
    <dataValidation type="custom" allowBlank="1" showInputMessage="1" showErrorMessage="1" errorTitle="Erreur" error="L'ecart gauche ne peut etre négatif" sqref="M8:P8">
      <formula1>M8&gt;=0</formula1>
    </dataValidation>
    <dataValidation type="custom" allowBlank="1" showInputMessage="1" showErrorMessage="1" errorTitle="Erreur" error="Le format est trop petit" sqref="E9">
      <formula1>T9&lt;E9</formula1>
    </dataValidation>
    <dataValidation type="list" showInputMessage="1" showErrorMessage="1" errorTitle="Erreur" error="Doit etre 1 ou 2" promptTitle="Nombre de Triangle Isocele" sqref="D8">
      <formula1>$AE$3:$AE$4</formula1>
    </dataValidation>
    <dataValidation type="custom" showInputMessage="1" showErrorMessage="1" errorTitle="Erreur" error="Le format est trop petit" sqref="E8 F8">
      <formula1>AND(NOT(ISBLANK(E8)),T8&lt;E8)</formula1>
    </dataValidation>
  </dataValidations>
  <pageMargins left="0.70866141732283472" right="0.70866141732283472" top="0.74803149606299213" bottom="0.74803149606299213" header="0.31496062992125984" footer="0.31496062992125984"/>
  <pageSetup paperSize="9" scale="81" orientation="landscape" r:id="rId1"/>
  <headerFooter>
    <oddHeader>&amp;L&amp;G&amp;C&amp;"-,Gras"&amp;16&amp;UCalcul des Taux de Chutes</oddHead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4</vt:i4>
      </vt:variant>
    </vt:vector>
  </HeadingPairs>
  <TitlesOfParts>
    <vt:vector size="11" baseType="lpstr">
      <vt:lpstr>Accueil</vt:lpstr>
      <vt:lpstr>Taux de Chute</vt:lpstr>
      <vt:lpstr>Feuil2</vt:lpstr>
      <vt:lpstr>Tx Chute Disque</vt:lpstr>
      <vt:lpstr>Tx Chute Plaque</vt:lpstr>
      <vt:lpstr>Tx Chute Triangle Rectangle</vt:lpstr>
      <vt:lpstr>Tx Chute Triangle Isocele</vt:lpstr>
      <vt:lpstr>'Tx Chute Disque'!Zone_d_impression</vt:lpstr>
      <vt:lpstr>'Tx Chute Plaque'!Zone_d_impression</vt:lpstr>
      <vt:lpstr>'Tx Chute Triangle Isocele'!Zone_d_impression</vt:lpstr>
      <vt:lpstr>'Tx Chute Triangle Rectangle'!Zone_d_impression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Calcul de taux de chute de pièces élementaires</dc:title>
  <dc:creator>Jean-Christophe Ambert</dc:creator>
  <cp:lastModifiedBy>Jean-Christophe Ambert</cp:lastModifiedBy>
  <cp:lastPrinted>2014-10-22T06:27:46Z</cp:lastPrinted>
  <dcterms:created xsi:type="dcterms:W3CDTF">2014-10-02T08:31:48Z</dcterms:created>
  <dcterms:modified xsi:type="dcterms:W3CDTF">2014-10-22T07:59:00Z</dcterms:modified>
</cp:coreProperties>
</file>