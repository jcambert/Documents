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05" windowWidth="24780" windowHeight="12150"/>
  </bookViews>
  <sheets>
    <sheet name="Temps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E19" i="1" l="1"/>
  <c r="G4" i="1"/>
  <c r="F4" i="1"/>
  <c r="E4" i="1"/>
  <c r="F19" i="1" l="1"/>
  <c r="D7" i="1"/>
  <c r="J7" i="1" s="1"/>
  <c r="D5" i="1"/>
  <c r="D6" i="1"/>
  <c r="J6" i="1" s="1"/>
  <c r="E9" i="1" l="1"/>
  <c r="J5" i="1"/>
  <c r="G19" i="1"/>
  <c r="D21" i="1" s="1"/>
  <c r="E14" i="1"/>
  <c r="F14" i="1" s="1"/>
  <c r="F9" i="1"/>
  <c r="G14" i="1" l="1"/>
  <c r="D16" i="1" s="1"/>
  <c r="D20" i="1"/>
  <c r="D22" i="1"/>
  <c r="G9" i="1"/>
  <c r="D10" i="1" s="1"/>
  <c r="D17" i="1" l="1"/>
  <c r="D15" i="1"/>
  <c r="D11" i="1"/>
  <c r="D12" i="1"/>
</calcChain>
</file>

<file path=xl/sharedStrings.xml><?xml version="1.0" encoding="utf-8"?>
<sst xmlns="http://schemas.openxmlformats.org/spreadsheetml/2006/main" count="25" uniqueCount="14">
  <si>
    <t>HEURE</t>
  </si>
  <si>
    <t>MINUTE</t>
  </si>
  <si>
    <t>SECONDE</t>
  </si>
  <si>
    <t>hh:mm:ss</t>
  </si>
  <si>
    <t>mm,ss</t>
  </si>
  <si>
    <t>ss</t>
  </si>
  <si>
    <t>hh,mm</t>
  </si>
  <si>
    <t>mm,s</t>
  </si>
  <si>
    <t>Rentrer une heure au format hh:mm:ss</t>
  </si>
  <si>
    <t>Rentrer une heure au format hh,mm</t>
  </si>
  <si>
    <t>Rentrer une heure au format mm,ss</t>
  </si>
  <si>
    <t>Rentrer une heure en seconde</t>
  </si>
  <si>
    <t>CONVERSION DE TEMPS</t>
  </si>
  <si>
    <t>Qte pièce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</si>
</sst>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000"/>
    <numFmt numFmtId="165" formatCode="h:mm:ss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2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1"/>
    <xf numFmtId="0" fontId="3" fillId="2" borderId="0" xfId="1" applyFont="1"/>
    <xf numFmtId="21" fontId="4" fillId="3" borderId="0" xfId="2" applyNumberFormat="1" applyFont="1" applyProtection="1">
      <protection locked="0"/>
    </xf>
    <xf numFmtId="164" fontId="3" fillId="2" borderId="0" xfId="1" applyNumberFormat="1" applyFont="1"/>
    <xf numFmtId="2" fontId="3" fillId="2" borderId="0" xfId="1" applyNumberFormat="1" applyFont="1"/>
    <xf numFmtId="164" fontId="4" fillId="3" borderId="0" xfId="2" applyNumberFormat="1" applyFont="1" applyProtection="1">
      <protection locked="0"/>
    </xf>
    <xf numFmtId="1" fontId="3" fillId="2" borderId="0" xfId="1" applyNumberFormat="1" applyFont="1"/>
    <xf numFmtId="165" fontId="3" fillId="2" borderId="0" xfId="1" applyNumberFormat="1" applyFont="1"/>
    <xf numFmtId="2" fontId="4" fillId="3" borderId="0" xfId="2" applyNumberFormat="1" applyFont="1" applyProtection="1">
      <protection locked="0"/>
    </xf>
    <xf numFmtId="0" fontId="4" fillId="3" borderId="0" xfId="2" applyFont="1" applyProtection="1">
      <protection locked="0"/>
    </xf>
    <xf numFmtId="0" fontId="4" fillId="0" borderId="0" xfId="0" applyFont="1"/>
    <xf numFmtId="0" fontId="5" fillId="2" borderId="0" xfId="1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43" fontId="4" fillId="3" borderId="0" xfId="3" applyFont="1" applyFill="1" applyProtection="1">
      <protection locked="0"/>
    </xf>
  </cellXfs>
  <cellStyles count="4">
    <cellStyle name="20 % - Accent1" xfId="2" builtinId="30"/>
    <cellStyle name="Accent1" xfId="1" builtinId="29"/>
    <cellStyle name="Milliers" xfId="3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1152525</xdr:colOff>
      <xdr:row>3</xdr:row>
      <xdr:rowOff>0</xdr:rowOff>
    </xdr:from>
    <xdr:to>
      <xdr:col>9</xdr:col>
      <xdr:colOff>19050</xdr:colOff>
      <xdr:row>4</xdr:row>
      <xdr:rowOff>47625</xdr:rowOff>
    </xdr:to>
    <xdr:sp macro="" textlink="">
      <xdr:nvSpPr>
        <xdr:cNvPr id="2" name="Flèche gauche 1"/>
        <xdr:cNvSpPr/>
      </xdr:nvSpPr>
      <xdr:spPr>
        <a:xfrm>
          <a:off x="3486150" y="361950"/>
          <a:ext cx="800100" cy="3048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1152525</xdr:colOff>
      <xdr:row>7</xdr:row>
      <xdr:rowOff>228600</xdr:rowOff>
    </xdr:from>
    <xdr:to>
      <xdr:col>9</xdr:col>
      <xdr:colOff>19050</xdr:colOff>
      <xdr:row>9</xdr:row>
      <xdr:rowOff>57150</xdr:rowOff>
    </xdr:to>
    <xdr:sp macro="" textlink="">
      <xdr:nvSpPr>
        <xdr:cNvPr id="3" name="Flèche gauche 2"/>
        <xdr:cNvSpPr/>
      </xdr:nvSpPr>
      <xdr:spPr>
        <a:xfrm>
          <a:off x="3486150" y="1562100"/>
          <a:ext cx="800100" cy="3048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1152525</xdr:colOff>
      <xdr:row>12</xdr:row>
      <xdr:rowOff>209550</xdr:rowOff>
    </xdr:from>
    <xdr:to>
      <xdr:col>9</xdr:col>
      <xdr:colOff>19050</xdr:colOff>
      <xdr:row>14</xdr:row>
      <xdr:rowOff>38100</xdr:rowOff>
    </xdr:to>
    <xdr:sp macro="" textlink="">
      <xdr:nvSpPr>
        <xdr:cNvPr id="4" name="Flèche gauche 3"/>
        <xdr:cNvSpPr/>
      </xdr:nvSpPr>
      <xdr:spPr>
        <a:xfrm>
          <a:off x="3486150" y="2733675"/>
          <a:ext cx="800100" cy="3048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1152525</xdr:colOff>
      <xdr:row>17</xdr:row>
      <xdr:rowOff>209550</xdr:rowOff>
    </xdr:from>
    <xdr:to>
      <xdr:col>9</xdr:col>
      <xdr:colOff>19050</xdr:colOff>
      <xdr:row>19</xdr:row>
      <xdr:rowOff>38100</xdr:rowOff>
    </xdr:to>
    <xdr:sp macro="" textlink="">
      <xdr:nvSpPr>
        <xdr:cNvPr id="5" name="Flèche gauche 4"/>
        <xdr:cNvSpPr/>
      </xdr:nvSpPr>
      <xdr:spPr>
        <a:xfrm>
          <a:off x="3486150" y="3924300"/>
          <a:ext cx="800100" cy="304800"/>
        </a:xfrm>
        <a:prstGeom prst="lef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J23"/>
  <sheetViews>
    <sheetView tabSelected="1" workbookViewId="0">
      <selection activeCell="D2" sqref="D2"/>
    </sheetView>
  </sheetViews>
  <sheetFormatPr baseColWidth="10" defaultRowHeight="15" x14ac:dyDescent="0.25"/>
  <cols>
    <col min="1" max="1" width="4.140625" customWidth="1"/>
    <col min="2" max="2" width="5.7109375" customWidth="1"/>
    <col min="3" max="3" width="12.140625" bestFit="1" customWidth="1"/>
    <col min="4" max="4" width="17.5703125" customWidth="1"/>
    <col min="5" max="7" width="0" hidden="1" customWidth="1"/>
    <col min="9" max="9" width="2" hidden="1" customWidth="1"/>
    <col min="10" max="10" width="45" customWidth="1"/>
  </cols>
  <sheetData>
    <row r="1" spans="3:10" ht="66" customHeight="1" x14ac:dyDescent="0.25">
      <c r="C1" s="13" t="s">
        <v>12</v>
      </c>
      <c r="D1" s="13"/>
      <c r="E1" s="13"/>
      <c r="F1" s="13"/>
      <c r="G1" s="13"/>
      <c r="H1" s="13"/>
      <c r="I1" s="13"/>
      <c r="J1" s="13"/>
    </row>
    <row r="2" spans="3:10" ht="26.25" x14ac:dyDescent="0.3">
      <c r="C2" s="2" t="s">
        <v>13</v>
      </c>
      <c r="D2" s="14">
        <v>1</v>
      </c>
      <c r="E2" s="12"/>
      <c r="F2" s="12"/>
      <c r="G2" s="12"/>
      <c r="H2" s="12"/>
      <c r="I2" s="12"/>
      <c r="J2" s="12"/>
    </row>
    <row r="3" spans="3:10" ht="21" customHeight="1" x14ac:dyDescent="0.25">
      <c r="C3" s="12"/>
      <c r="D3" s="12"/>
      <c r="E3" s="12"/>
      <c r="F3" s="12"/>
      <c r="G3" s="12"/>
      <c r="H3" s="12"/>
      <c r="I3" s="12"/>
      <c r="J3" s="12"/>
    </row>
    <row r="4" spans="3:10" ht="18.75" x14ac:dyDescent="0.3">
      <c r="C4" s="2" t="s">
        <v>3</v>
      </c>
      <c r="D4" s="3"/>
      <c r="E4" s="2">
        <f>HOUR(D4)</f>
        <v>0</v>
      </c>
      <c r="F4" s="2">
        <f>MINUTE(D4)</f>
        <v>0</v>
      </c>
      <c r="G4" s="2">
        <f>SECOND(D4)</f>
        <v>0</v>
      </c>
      <c r="H4" s="1"/>
      <c r="J4" s="2" t="s">
        <v>8</v>
      </c>
    </row>
    <row r="5" spans="3:10" ht="18.75" x14ac:dyDescent="0.3">
      <c r="C5" s="2" t="s">
        <v>6</v>
      </c>
      <c r="D5" s="4">
        <f>E4+F4/60+G4/3600</f>
        <v>0</v>
      </c>
      <c r="E5" s="2"/>
      <c r="F5" s="2"/>
      <c r="G5" s="2"/>
      <c r="H5" s="1"/>
      <c r="J5" s="4">
        <f>D2*D5</f>
        <v>0</v>
      </c>
    </row>
    <row r="6" spans="3:10" ht="18.75" x14ac:dyDescent="0.3">
      <c r="C6" s="2" t="s">
        <v>4</v>
      </c>
      <c r="D6" s="5">
        <f>E4*60+F4+G4/60</f>
        <v>0</v>
      </c>
      <c r="E6" s="2"/>
      <c r="F6" s="2"/>
      <c r="G6" s="2"/>
      <c r="H6" s="1"/>
      <c r="J6" s="5">
        <f>D2*D6</f>
        <v>0</v>
      </c>
    </row>
    <row r="7" spans="3:10" ht="18.75" x14ac:dyDescent="0.3">
      <c r="C7" s="2" t="s">
        <v>5</v>
      </c>
      <c r="D7" s="2">
        <f>E4*3600+F4*60+G4</f>
        <v>0</v>
      </c>
      <c r="E7" s="2"/>
      <c r="F7" s="2"/>
      <c r="G7" s="2"/>
      <c r="H7" s="1"/>
      <c r="J7" s="2">
        <f>D2*D7</f>
        <v>0</v>
      </c>
    </row>
    <row r="8" spans="3:10" ht="18.75" x14ac:dyDescent="0.3">
      <c r="C8" s="2"/>
      <c r="D8" s="2"/>
      <c r="E8" s="2" t="s">
        <v>0</v>
      </c>
      <c r="F8" s="2" t="s">
        <v>1</v>
      </c>
      <c r="G8" s="2" t="s">
        <v>2</v>
      </c>
      <c r="H8" s="1"/>
      <c r="J8" s="2"/>
    </row>
    <row r="9" spans="3:10" ht="18.75" x14ac:dyDescent="0.3">
      <c r="C9" s="2" t="s">
        <v>6</v>
      </c>
      <c r="D9" s="6"/>
      <c r="E9" s="2">
        <f>TRUNC(D9)</f>
        <v>0</v>
      </c>
      <c r="F9" s="2">
        <f>TRUNC( (D9-E9)*60)</f>
        <v>0</v>
      </c>
      <c r="G9" s="7">
        <f>( ((D9-E9)*60)-F9)*60</f>
        <v>0</v>
      </c>
      <c r="H9" s="1"/>
      <c r="J9" s="2" t="s">
        <v>9</v>
      </c>
    </row>
    <row r="10" spans="3:10" ht="18.75" x14ac:dyDescent="0.3">
      <c r="C10" s="2" t="s">
        <v>3</v>
      </c>
      <c r="D10" s="8">
        <f>TIME(E9,F9,G9)</f>
        <v>0</v>
      </c>
      <c r="E10" s="2"/>
      <c r="F10" s="2"/>
      <c r="G10" s="2"/>
      <c r="H10" s="1"/>
      <c r="J10" s="2"/>
    </row>
    <row r="11" spans="3:10" ht="18.75" x14ac:dyDescent="0.3">
      <c r="C11" s="2" t="s">
        <v>7</v>
      </c>
      <c r="D11" s="2">
        <f>E9*60+F9+G9/60</f>
        <v>0</v>
      </c>
      <c r="E11" s="2"/>
      <c r="F11" s="2"/>
      <c r="G11" s="2"/>
      <c r="H11" s="1"/>
      <c r="J11" s="2"/>
    </row>
    <row r="12" spans="3:10" ht="18.75" x14ac:dyDescent="0.3">
      <c r="C12" s="2" t="s">
        <v>5</v>
      </c>
      <c r="D12" s="2">
        <f>E9*3600+F9*60+G9</f>
        <v>0</v>
      </c>
      <c r="E12" s="2"/>
      <c r="F12" s="2"/>
      <c r="G12" s="2"/>
      <c r="H12" s="1"/>
      <c r="J12" s="2"/>
    </row>
    <row r="13" spans="3:10" ht="18.75" x14ac:dyDescent="0.3">
      <c r="C13" s="2"/>
      <c r="D13" s="2"/>
      <c r="E13" s="2"/>
      <c r="F13" s="2"/>
      <c r="G13" s="2"/>
      <c r="H13" s="1"/>
      <c r="J13" s="2"/>
    </row>
    <row r="14" spans="3:10" ht="18.75" x14ac:dyDescent="0.3">
      <c r="C14" s="2" t="s">
        <v>4</v>
      </c>
      <c r="D14" s="9"/>
      <c r="E14" s="2">
        <f>TRUNC(D14/60)</f>
        <v>0</v>
      </c>
      <c r="F14" s="2">
        <f>TRUNC(D14-(E14*60))</f>
        <v>0</v>
      </c>
      <c r="G14" s="7">
        <f>(D14-(E14*60+F14))*60</f>
        <v>0</v>
      </c>
      <c r="H14" s="1"/>
      <c r="J14" s="2" t="s">
        <v>10</v>
      </c>
    </row>
    <row r="15" spans="3:10" ht="18.75" x14ac:dyDescent="0.3">
      <c r="C15" s="2" t="s">
        <v>3</v>
      </c>
      <c r="D15" s="8">
        <f>TIME(E14,F14,G14)</f>
        <v>0</v>
      </c>
      <c r="E15" s="2"/>
      <c r="F15" s="2"/>
      <c r="G15" s="2"/>
      <c r="H15" s="1"/>
      <c r="J15" s="2"/>
    </row>
    <row r="16" spans="3:10" ht="18.75" x14ac:dyDescent="0.3">
      <c r="C16" s="2" t="s">
        <v>6</v>
      </c>
      <c r="D16" s="4">
        <f>E14+F14/60+G14/3600</f>
        <v>0</v>
      </c>
      <c r="E16" s="2"/>
      <c r="F16" s="2"/>
      <c r="G16" s="2"/>
      <c r="H16" s="1"/>
      <c r="J16" s="2"/>
    </row>
    <row r="17" spans="3:10" ht="18.75" x14ac:dyDescent="0.3">
      <c r="C17" s="2" t="s">
        <v>5</v>
      </c>
      <c r="D17" s="2">
        <f>E14*3600+F14*60+G14</f>
        <v>0</v>
      </c>
      <c r="E17" s="2"/>
      <c r="F17" s="2"/>
      <c r="G17" s="2"/>
      <c r="H17" s="1"/>
      <c r="J17" s="2"/>
    </row>
    <row r="18" spans="3:10" ht="18.75" x14ac:dyDescent="0.3">
      <c r="C18" s="2"/>
      <c r="D18" s="2"/>
      <c r="E18" s="2"/>
      <c r="F18" s="2"/>
      <c r="G18" s="2"/>
      <c r="H18" s="1"/>
      <c r="J18" s="2"/>
    </row>
    <row r="19" spans="3:10" ht="18.75" x14ac:dyDescent="0.3">
      <c r="C19" s="2" t="s">
        <v>5</v>
      </c>
      <c r="D19" s="10"/>
      <c r="E19" s="2">
        <f>TRUNC(D19/3600)</f>
        <v>0</v>
      </c>
      <c r="F19" s="2">
        <f>TRUNC((D19/3600-E19)*60)</f>
        <v>0</v>
      </c>
      <c r="G19" s="2">
        <f>((D19/3600-E19)*60-F19)*60</f>
        <v>0</v>
      </c>
      <c r="H19" s="1"/>
      <c r="J19" s="2" t="s">
        <v>11</v>
      </c>
    </row>
    <row r="20" spans="3:10" ht="18.75" x14ac:dyDescent="0.3">
      <c r="C20" s="2" t="s">
        <v>3</v>
      </c>
      <c r="D20" s="8">
        <f>TIME(E19,F19,G19)</f>
        <v>0</v>
      </c>
      <c r="E20" s="2"/>
      <c r="F20" s="2"/>
      <c r="G20" s="2"/>
      <c r="H20" s="1"/>
      <c r="J20" s="2"/>
    </row>
    <row r="21" spans="3:10" ht="18.75" x14ac:dyDescent="0.3">
      <c r="C21" s="2" t="s">
        <v>6</v>
      </c>
      <c r="D21" s="4">
        <f>E19+F19/60+G19/3600</f>
        <v>0</v>
      </c>
      <c r="E21" s="2"/>
      <c r="F21" s="2"/>
      <c r="G21" s="2"/>
      <c r="H21" s="1"/>
      <c r="J21" s="2"/>
    </row>
    <row r="22" spans="3:10" ht="18.75" x14ac:dyDescent="0.3">
      <c r="C22" s="2" t="s">
        <v>7</v>
      </c>
      <c r="D22" s="2">
        <f>E19*60+F19+G19/60</f>
        <v>0</v>
      </c>
      <c r="E22" s="2"/>
      <c r="F22" s="2"/>
      <c r="G22" s="2"/>
      <c r="H22" s="1"/>
      <c r="J22" s="2"/>
    </row>
    <row r="23" spans="3:10" ht="18.75" x14ac:dyDescent="0.3">
      <c r="C23" s="11"/>
      <c r="D23" s="11"/>
      <c r="E23" s="11"/>
      <c r="F23" s="11"/>
      <c r="G23" s="11"/>
      <c r="J23" s="11"/>
    </row>
  </sheetData>
  <mergeCells count="1">
    <mergeCell ref="C1:J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Temps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2014-11-19T08:29:08Z</dcterms:created>
  <dcterms:modified xsi:type="dcterms:W3CDTF">2015-04-27T15:54:07Z</dcterms:modified>
</cp:coreProperties>
</file>